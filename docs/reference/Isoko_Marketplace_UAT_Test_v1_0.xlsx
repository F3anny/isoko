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UAT Protocol" sheetId="2" state="visible" r:id="rId4"/>
    <sheet name="Dashboard" sheetId="3" state="visible" r:id="rId5"/>
    <sheet name="Authentication" sheetId="4" state="visible" r:id="rId6"/>
    <sheet name="Catalogue" sheetId="5" state="visible" r:id="rId7"/>
    <sheet name="Cart &amp; Discount" sheetId="6" state="visible" r:id="rId8"/>
    <sheet name="Checkout" sheetId="7" state="visible" r:id="rId9"/>
    <sheet name="Wishlist &amp; Orders" sheetId="8" state="visible" r:id="rId10"/>
    <sheet name="Seller &amp; Admin" sheetId="9" state="visible" r:id="rId11"/>
    <sheet name="Non-functional" sheetId="10" state="visible" r:id="rId12"/>
  </sheets>
  <definedNames>
    <definedName function="false" hidden="true" localSheetId="3" name="_xlnm._FilterDatabase" vbProcedure="false">Authentication!$A$5:$O$17</definedName>
    <definedName function="false" hidden="true" localSheetId="5" name="_xlnm._FilterDatabase" vbProcedure="false">'Cart &amp; Discount'!$A$5:$O$19</definedName>
    <definedName function="false" hidden="true" localSheetId="4" name="_xlnm._FilterDatabase" vbProcedure="false">Catalogue!$A$5:$O$15</definedName>
    <definedName function="false" hidden="true" localSheetId="6" name="_xlnm._FilterDatabase" vbProcedure="false">Checkout!$A$5:$O$19</definedName>
    <definedName function="false" hidden="false" localSheetId="0" name="_xlnm.Print_Titles" vbProcedure="false">Cover!$1:$5</definedName>
    <definedName function="false" hidden="true" localSheetId="9" name="_xlnm._FilterDatabase" vbProcedure="false">'Non-functional'!$A$5:$O$15</definedName>
    <definedName function="false" hidden="true" localSheetId="8" name="_xlnm._FilterDatabase" vbProcedure="false">'Seller &amp; Admin'!$A$5:$O$13</definedName>
    <definedName function="false" hidden="true" localSheetId="7" name="_xlnm._FilterDatabase" vbProcedure="false">'Wishlist &amp; Orders'!$A$5:$O$19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<sst xmlns="http://schemas.openxmlformats.org/spreadsheetml/2006/main" count="1106" uniqueCount="711">
  <si>
    <t xml:space="preserve">ISOKO MARKETPLACE</t>
  </si>
  <si>
    <t xml:space="preserve">Multi-vendor Marketplace Platform  —  SIT / UAT Test Pack</t>
  </si>
  <si>
    <t xml:space="preserve">Authentication  •  Catalogue  •  Cart &amp; Discount  •  Checkout  •  Wishlist &amp; Orders  •  Seller &amp; Admin  •  Non-functional</t>
  </si>
  <si>
    <t xml:space="preserve">Buyer storefront  /  uat.isoko.rw (UAT)</t>
  </si>
  <si>
    <t xml:space="preserve">PROJECT INFORMATION  /  AMAKURU Y'UMUSHINGA</t>
  </si>
  <si>
    <t xml:space="preserve">Project</t>
  </si>
  <si>
    <t xml:space="preserve">Isoko Multi-vendor Marketplace (mobile-money-first, escrow)</t>
  </si>
  <si>
    <t xml:space="preserve">Application / Module</t>
  </si>
  <si>
    <t xml:space="preserve">Web storefront + REST API + database (containerised, Kubernetes)</t>
  </si>
  <si>
    <t xml:space="preserve">In-scope journeys</t>
  </si>
  <si>
    <t xml:space="preserve">Login/Register, Catalogue, Cart, Discount, Checkout (MoMo/Airtel/Card, escrow), Wishlist, Orders, Seller onboarding &amp; fulfilment, OTP delivery &amp; payout</t>
  </si>
  <si>
    <t xml:space="preserve">Out of scope</t>
  </si>
  <si>
    <t xml:space="preserve">Native apps; buyer disputes &amp; reviews (Release 2); payment-gateway internals; live MoMo charges; real customer data</t>
  </si>
  <si>
    <t xml:space="preserve">Governing SRS</t>
  </si>
  <si>
    <t xml:space="preserve">ISK-SRS-2026-001 v1.0  —  use cases UC-01..15</t>
  </si>
  <si>
    <t xml:space="preserve">Governing Inception</t>
  </si>
  <si>
    <t xml:space="preserve">ISK-INC-2026-001 v1.0  —  milestones M1–M4, 19-week plan</t>
  </si>
  <si>
    <t xml:space="preserve">Test Phase</t>
  </si>
  <si>
    <t xml:space="preserve">SIT  →  UAT</t>
  </si>
  <si>
    <t xml:space="preserve">Environment</t>
  </si>
  <si>
    <t xml:space="preserve">UAT / staging Kubernetes cluster (seed data: SRS Appendix B)</t>
  </si>
  <si>
    <t xml:space="preserve">Build / Release</t>
  </si>
  <si>
    <t xml:space="preserve">1.0-rc</t>
  </si>
  <si>
    <t xml:space="preserve">Test Lead</t>
  </si>
  <si>
    <t xml:space="preserve">QA lead (rotating)  ·  Trainer: [Trainer name]</t>
  </si>
  <si>
    <t xml:space="preserve">Business Owner / PO</t>
  </si>
  <si>
    <t xml:space="preserve">Isoko Product Owner</t>
  </si>
  <si>
    <t xml:space="preserve">UAT window</t>
  </si>
  <si>
    <t xml:space="preserve">Session 1: Week 12  ·  Session 2: Week 16  ·  Sign-off: Milestone 4 (Week 19)</t>
  </si>
  <si>
    <t xml:space="preserve">Document ID / Version</t>
  </si>
  <si>
    <t xml:space="preserve">ISK-UAT-2026-001  ·  v1.0  ·  30 September 2026</t>
  </si>
  <si>
    <t xml:space="preserve">HOW TO USE  /  UBURYO BWO GUKORESHA</t>
  </si>
  <si>
    <t xml:space="preserve">1. Confirm entry criteria</t>
  </si>
  <si>
    <t xml:space="preserve">SRS baselined, Inception accepted, smoke test (home + /healthz) green, Appendix B seed loaded. Do not start if smoke fails.</t>
  </si>
  <si>
    <t xml:space="preserve">2. Pick a test sheet</t>
  </si>
  <si>
    <t xml:space="preserve">Authentication, Catalogue, Cart &amp; Discount, Checkout, Wishlist &amp; Orders, Seller &amp; Admin, or Non-functional.</t>
  </si>
  <si>
    <t xml:space="preserve">3. Run each test case</t>
  </si>
  <si>
    <t xml:space="preserve">Follow Test Steps on the UAT storefront (or API notes where marked). Record Actual Result.</t>
  </si>
  <si>
    <t xml:space="preserve">4. Record the outcome</t>
  </si>
  <si>
    <t xml:space="preserve">Status dropdown: Pass / Fail / Blocked / Not Executed. Failures get a Defect ID.</t>
  </si>
  <si>
    <t xml:space="preserve">5. Watch the Dashboard</t>
  </si>
  <si>
    <t xml:space="preserve">Counts and pass rate update live from the Status columns.</t>
  </si>
  <si>
    <t xml:space="preserve">6. Capture LO4 metrics</t>
  </si>
  <si>
    <t xml:space="preserve">On the Protocol sheet: task success, time on task, satisfaction 1–5.</t>
  </si>
  <si>
    <t xml:space="preserve">7. Sign-off</t>
  </si>
  <si>
    <t xml:space="preserve">Product Owner and QA Lead complete the Dashboard sign-off (Accept / Accept with reservations / Reject).</t>
  </si>
  <si>
    <t xml:space="preserve">STATUS LEGEND  /  IBISOBANURO</t>
  </si>
  <si>
    <t xml:space="preserve">Pass</t>
  </si>
  <si>
    <t xml:space="preserve">Test executed and all expected results were observed.</t>
  </si>
  <si>
    <t xml:space="preserve">Fail</t>
  </si>
  <si>
    <t xml:space="preserve">Test executed but one or more expected results did not match.</t>
  </si>
  <si>
    <t xml:space="preserve">Blocked</t>
  </si>
  <si>
    <t xml:space="preserve">Cannot be executed because of an environment/data/dependency issue.</t>
  </si>
  <si>
    <t xml:space="preserve">Not Executed</t>
  </si>
  <si>
    <t xml:space="preserve">Default — test case has not yet been run.</t>
  </si>
  <si>
    <t xml:space="preserve">© Isoko / [Team name] — [Module code] capstone. Internal QA workbook. Do not distribute customer data.</t>
  </si>
  <si>
    <t xml:space="preserve">UAT Protocol  /  LO4 §2 — objectives, metrics, sign-off</t>
  </si>
  <si>
    <t xml:space="preserve">This sheet is the formal UAT report skeleton required by the capstone module (LO4). Test evidence lives on the module sheets; the verdict lives here and on Dashboard.</t>
  </si>
  <si>
    <t xml:space="preserve">2.1  Objectives</t>
  </si>
  <si>
    <t xml:space="preserve">O1  A first-time buyer can register, browse products and complete a successful MoMo checkout unaided.</t>
  </si>
  <si>
    <t xml:space="preserve">O2  Discount code SUMMER2026 and the qty≥5 / free-shipping decision table behave as SRS Appendix A.</t>
  </si>
  <si>
    <t xml:space="preserve">O3  A mobile-money timeout never leaves an order Paid (FR-PAY-04 / FR-CHK-10).</t>
  </si>
  <si>
    <t xml:space="preserve">O4  A seller can publish a product and ship a Paid order from the quick-start guide alone; payout is released only after OTP delivery.</t>
  </si>
  <si>
    <t xml:space="preserve">O5  IDOR: buyer A cannot open buyer B’s order.</t>
  </si>
  <si>
    <t xml:space="preserve">2.2  Metrics (complete during sessions)</t>
  </si>
  <si>
    <t xml:space="preserve">Task (maps to objective)</t>
  </si>
  <si>
    <t xml:space="preserve">Participant</t>
  </si>
  <si>
    <t xml:space="preserve">Success Y/N</t>
  </si>
  <si>
    <t xml:space="preserve">Time on task (min)</t>
  </si>
  <si>
    <t xml:space="preserve">Satisfaction 1–5</t>
  </si>
  <si>
    <t xml:space="preserve">Notes</t>
  </si>
  <si>
    <t xml:space="preserve">O1 Browse → register → MoMo success checkout</t>
  </si>
  <si>
    <t xml:space="preserve">O2 Apply SUMMER2026 on 5× PC-500; Gold free shipping</t>
  </si>
  <si>
    <t xml:space="preserve">O3 Force MoMo timeout; confirm not Paid</t>
  </si>
  <si>
    <t xml:space="preserve">O4 Seller publish SKU + ship Paid order (quick-start only)</t>
  </si>
  <si>
    <t xml:space="preserve">O5 Buyer A opens Buyer B order URL</t>
  </si>
  <si>
    <t xml:space="preserve">Task success rate</t>
  </si>
  <si>
    <t xml:space="preserve">Average satisfaction</t>
  </si>
  <si>
    <t xml:space="preserve">Defects found in UAT (count of Fail on Dashboard)</t>
  </si>
  <si>
    <t xml:space="preserve">2.3  Participants (representative users, not only developers)</t>
  </si>
  <si>
    <t xml:space="preserve">Name</t>
  </si>
  <si>
    <t xml:space="preserve">Role</t>
  </si>
  <si>
    <t xml:space="preserve">Session 1 / 2</t>
  </si>
  <si>
    <t xml:space="preserve">Trained on quick-start?</t>
  </si>
  <si>
    <t xml:space="preserve">Buyer (Buyer A, Standard)</t>
  </si>
  <si>
    <t xml:space="preserve">1</t>
  </si>
  <si>
    <t xml:space="preserve">Buyer (Gold / Buyer B)</t>
  </si>
  <si>
    <t xml:space="preserve">Isoko Seller / Ops</t>
  </si>
  <si>
    <t xml:space="preserve">1+2</t>
  </si>
  <si>
    <t xml:space="preserve">Product Owner</t>
  </si>
  <si>
    <t xml:space="preserve">2 (sign-off)</t>
  </si>
  <si>
    <t xml:space="preserve">QA Lead</t>
  </si>
  <si>
    <t xml:space="preserve">n/a</t>
  </si>
  <si>
    <t xml:space="preserve">2.5–2.6  Verdict</t>
  </si>
  <si>
    <t xml:space="preserve">Overall verdict</t>
  </si>
  <si>
    <t xml:space="preserve">Reservations / conditions for go-live</t>
  </si>
  <si>
    <t xml:space="preserve">UAT Dashboard  /  Ipimo ry'ibyageragejwe</t>
  </si>
  <si>
    <t xml:space="preserve">Live counts of Pass / Fail / Blocked / Not Executed across all test sheets. Do not type in the count cells.</t>
  </si>
  <si>
    <t xml:space="preserve">Module</t>
  </si>
  <si>
    <t xml:space="preserve">Total</t>
  </si>
  <si>
    <t xml:space="preserve">Pass rate</t>
  </si>
  <si>
    <t xml:space="preserve">Authentication</t>
  </si>
  <si>
    <t xml:space="preserve">Catalogue</t>
  </si>
  <si>
    <t xml:space="preserve">Cart &amp; Discount</t>
  </si>
  <si>
    <t xml:space="preserve">Checkout</t>
  </si>
  <si>
    <t xml:space="preserve">Wishlist &amp; Orders</t>
  </si>
  <si>
    <t xml:space="preserve">Seller &amp; Admin</t>
  </si>
  <si>
    <t xml:space="preserve">Non-functional</t>
  </si>
  <si>
    <t xml:space="preserve">OVERALL</t>
  </si>
  <si>
    <t xml:space="preserve">UAT SIGN-OFF  /  KWEMEZA</t>
  </si>
  <si>
    <t xml:space="preserve">Decision</t>
  </si>
  <si>
    <t xml:space="preserve">Signature</t>
  </si>
  <si>
    <t xml:space="preserve">Date</t>
  </si>
  <si>
    <t xml:space="preserve">Product Owner, Isoko</t>
  </si>
  <si>
    <t xml:space="preserve">Trainer / Technical authority</t>
  </si>
  <si>
    <t xml:space="preserve">Sign-off authorises (or refuses) release to the integrated summative demo / production-like cluster. It is not a developer “done”.</t>
  </si>
  <si>
    <t xml:space="preserve">Authentication  /  Kwinjira</t>
  </si>
  <si>
    <t xml:space="preserve">Login, lock-out, registration with phone OTP, session and logging. Maps to UC-01/02 and FR-AUTH-*.</t>
  </si>
  <si>
    <t xml:space="preserve">#</t>
  </si>
  <si>
    <t xml:space="preserve">Test ID</t>
  </si>
  <si>
    <t xml:space="preserve">Sub-module</t>
  </si>
  <si>
    <t xml:space="preserve">Test Case Title</t>
  </si>
  <si>
    <t xml:space="preserve">Pre-conditions</t>
  </si>
  <si>
    <t xml:space="preserve">Test Steps</t>
  </si>
  <si>
    <t xml:space="preserve">Expected Result</t>
  </si>
  <si>
    <t xml:space="preserve">Actual Result</t>
  </si>
  <si>
    <t xml:space="preserve">Priority</t>
  </si>
  <si>
    <t xml:space="preserve">Status</t>
  </si>
  <si>
    <t xml:space="preserve">Tester</t>
  </si>
  <si>
    <t xml:space="preserve">Test Date</t>
  </si>
  <si>
    <t xml:space="preserve">Defect ID</t>
  </si>
  <si>
    <t xml:space="preserve">Comments</t>
  </si>
  <si>
    <t xml:space="preserve">AU-001</t>
  </si>
  <si>
    <t xml:space="preserve">Welcome</t>
  </si>
  <si>
    <t xml:space="preserve">Login page loads (smoke)</t>
  </si>
  <si>
    <t xml:space="preserve">UAT cluster healthy.</t>
  </si>
  <si>
    <t xml:space="preserve">Open /login.</t>
  </si>
  <si>
    <t xml:space="preserve">Email and password fields and Sign in button are visible; labelled for assistive tech.</t>
  </si>
  <si>
    <t xml:space="preserve">Critical</t>
  </si>
  <si>
    <t xml:space="preserve">UC-02 / FR-AUTH-01</t>
  </si>
  <si>
    <t xml:space="preserve">AU-002</t>
  </si>
  <si>
    <t xml:space="preserve">Happy path</t>
  </si>
  <si>
    <t xml:space="preserve">Registered buyer logs in</t>
  </si>
  <si>
    <t xml:space="preserve">amina@isoko.test exists (Appendix B).</t>
  </si>
  <si>
    <t xml:space="preserve">1. Open /login.
2. Enter amina@isoko.test + correct password.
3. Submit.</t>
  </si>
  <si>
    <t xml:space="preserve">Redirect to previous page or home; session cookie set; user menu shows the email.</t>
  </si>
  <si>
    <t xml:space="preserve">UC-02 main flow</t>
  </si>
  <si>
    <t xml:space="preserve">AU-003</t>
  </si>
  <si>
    <t xml:space="preserve">Invalid password</t>
  </si>
  <si>
    <t xml:space="preserve">Wrong password — generic error</t>
  </si>
  <si>
    <t xml:space="preserve">amina@isoko.test exists.</t>
  </si>
  <si>
    <t xml:space="preserve">Submit correct email + wrong password.</t>
  </si>
  <si>
    <t xml:space="preserve">Generic error; no stack trace; does not say “password incorrect” vs “email unknown”.</t>
  </si>
  <si>
    <t xml:space="preserve">UC-02 3a / FR-AUTH-03</t>
  </si>
  <si>
    <t xml:space="preserve">AU-004</t>
  </si>
  <si>
    <t xml:space="preserve">Unknown email</t>
  </si>
  <si>
    <t xml:space="preserve">Unknown email — same generic error</t>
  </si>
  <si>
    <t xml:space="preserve">Email not in store.</t>
  </si>
  <si>
    <t xml:space="preserve">Submit nobody@isoko.test + any password.</t>
  </si>
  <si>
    <t xml:space="preserve">Same generic error as AU-003 (no user enumeration).</t>
  </si>
  <si>
    <t xml:space="preserve">High</t>
  </si>
  <si>
    <t xml:space="preserve">FR-AUTH-03</t>
  </si>
  <si>
    <t xml:space="preserve">AU-005</t>
  </si>
  <si>
    <t xml:space="preserve">Lock-out</t>
  </si>
  <si>
    <t xml:space="preserve">Account locks after 3 wrong passwords</t>
  </si>
  <si>
    <t xml:space="preserve">Fresh failed-attempt counter.</t>
  </si>
  <si>
    <t xml:space="preserve">Submit a wrong password three times in a row for amina@.</t>
  </si>
  <si>
    <t xml:space="preserve">Third attempt locks 30 min; security notification requested; further logins denied.</t>
  </si>
  <si>
    <t xml:space="preserve">FR-AUTH-04</t>
  </si>
  <si>
    <t xml:space="preserve">AU-006</t>
  </si>
  <si>
    <t xml:space="preserve">Locked user</t>
  </si>
  <si>
    <t xml:space="preserve">Already-locked account cannot log in</t>
  </si>
  <si>
    <t xml:space="preserve">locked@isoko.test is locked.</t>
  </si>
  <si>
    <t xml:space="preserve">Submit the correct password for the locked user.</t>
  </si>
  <si>
    <t xml:space="preserve">Denied; message does not confirm the email exists.</t>
  </si>
  <si>
    <t xml:space="preserve">FR-AUTH-05</t>
  </si>
  <si>
    <t xml:space="preserve">AU-007</t>
  </si>
  <si>
    <t xml:space="preserve">Blank password</t>
  </si>
  <si>
    <t xml:space="preserve">Blank password client validation</t>
  </si>
  <si>
    <t xml:space="preserve">Login form.</t>
  </si>
  <si>
    <t xml:space="preserve">Fill email, leave password empty, click Sign in.</t>
  </si>
  <si>
    <t xml:space="preserve">“password is required” shown; no request sent.</t>
  </si>
  <si>
    <t xml:space="preserve">Medium</t>
  </si>
  <si>
    <t xml:space="preserve">FR-AUTH-01 form validation</t>
  </si>
  <si>
    <t xml:space="preserve">AU-008</t>
  </si>
  <si>
    <t xml:space="preserve">Register</t>
  </si>
  <si>
    <t xml:space="preserve">Register — happy path with phone OTP</t>
  </si>
  <si>
    <t xml:space="preserve">New unique email; SMS stub returns OTP.</t>
  </si>
  <si>
    <t xml:space="preserve">Complete register with valid 07X phone and 8+ char password (letter + digit); enter the SMS OTP.</t>
  </si>
  <si>
    <t xml:space="preserve">Account activated only after OTP; user signed in; welcome message requested.</t>
  </si>
  <si>
    <t xml:space="preserve">UC-01 / FR-AUTH-08, 09</t>
  </si>
  <si>
    <t xml:space="preserve">AU-009</t>
  </si>
  <si>
    <t xml:space="preserve">Register — duplicate email</t>
  </si>
  <si>
    <t xml:space="preserve">amina@isoko.test already exists.</t>
  </si>
  <si>
    <t xml:space="preserve">Register with amina@isoko.test.</t>
  </si>
  <si>
    <t xml:space="preserve">Rejected; offer Log in; no second account.</t>
  </si>
  <si>
    <t xml:space="preserve">UC-01 2a / FR-AUTH-10</t>
  </si>
  <si>
    <t xml:space="preserve">AU-010</t>
  </si>
  <si>
    <t xml:space="preserve">Logging</t>
  </si>
  <si>
    <t xml:space="preserve">Password never appears in logs</t>
  </si>
  <si>
    <t xml:space="preserve">Access to API logs.</t>
  </si>
  <si>
    <t xml:space="preserve">Run AU-002; inspect logs for the password string.</t>
  </si>
  <si>
    <t xml:space="preserve">Logs show inputLen only; password absent.</t>
  </si>
  <si>
    <t xml:space="preserve">FR-AUTH-07</t>
  </si>
  <si>
    <t xml:space="preserve">AU-011</t>
  </si>
  <si>
    <t xml:space="preserve">Logout</t>
  </si>
  <si>
    <t xml:space="preserve">Logout invalidates session</t>
  </si>
  <si>
    <t xml:space="preserve">Logged in.</t>
  </si>
  <si>
    <t xml:space="preserve">Logout; press Back; open /account.</t>
  </si>
  <si>
    <t xml:space="preserve">Redirected to login; old cookie unusable.</t>
  </si>
  <si>
    <t xml:space="preserve">FR-AUTH-11</t>
  </si>
  <si>
    <t xml:space="preserve">AU-012</t>
  </si>
  <si>
    <t xml:space="preserve">Phone BVA</t>
  </si>
  <si>
    <t xml:space="preserve">Register rejects 9-digit phone</t>
  </si>
  <si>
    <t xml:space="preserve">Registration form.</t>
  </si>
  <si>
    <t xml:space="preserve">Enter 078123456 (9 digits) as phone.</t>
  </si>
  <si>
    <t xml:space="preserve">Rejected (Rwandan 07X 10-digit rule).</t>
  </si>
  <si>
    <t xml:space="preserve">UC-01 2c / FR-AUTH-08</t>
  </si>
  <si>
    <t xml:space="preserve">Catalogue  /  Urutonde rw'ibicuruzwa</t>
  </si>
  <si>
    <t xml:space="preserve">Smoke, search, published vs hidden, stock badges and product API. Maps to UC-03/04 and FR-CAT-*.</t>
  </si>
  <si>
    <t xml:space="preserve">CAT-001</t>
  </si>
  <si>
    <t xml:space="preserve">Smoke</t>
  </si>
  <si>
    <t xml:space="preserve">Home page loads</t>
  </si>
  <si>
    <t xml:space="preserve">UAT up.</t>
  </si>
  <si>
    <t xml:space="preserve">GET /</t>
  </si>
  <si>
    <t xml:space="preserve">Home renders with at least the published catalogue region. If this fails, stop the cycle.</t>
  </si>
  <si>
    <t xml:space="preserve">FR-CAT-04 smoke gate</t>
  </si>
  <si>
    <t xml:space="preserve">CAT-002</t>
  </si>
  <si>
    <t xml:space="preserve">List</t>
  </si>
  <si>
    <t xml:space="preserve">Published products listed with RWF prices</t>
  </si>
  <si>
    <t xml:space="preserve">TS-001 seeded.</t>
  </si>
  <si>
    <t xml:space="preserve">Open the catalogue.</t>
  </si>
  <si>
    <t xml:space="preserve">TS-001 visible; price 8,000 RWF (integer).</t>
  </si>
  <si>
    <t xml:space="preserve">FR-CAT-01</t>
  </si>
  <si>
    <t xml:space="preserve">CAT-003</t>
  </si>
  <si>
    <t xml:space="preserve">Search</t>
  </si>
  <si>
    <t xml:space="preserve">Search by name — hit</t>
  </si>
  <si>
    <t xml:space="preserve">TS-001 published.</t>
  </si>
  <si>
    <t xml:space="preserve">Search “T-shirt”.</t>
  </si>
  <si>
    <t xml:space="preserve">TS-001 in results.</t>
  </si>
  <si>
    <t xml:space="preserve">FR-CAT-02</t>
  </si>
  <si>
    <t xml:space="preserve">CAT-004</t>
  </si>
  <si>
    <t xml:space="preserve">Search — zero hits empty state</t>
  </si>
  <si>
    <t xml:space="preserve">None.</t>
  </si>
  <si>
    <t xml:space="preserve">Search “zzzz-no-sku”.</t>
  </si>
  <si>
    <t xml:space="preserve">“No products match your search.” — not a blank page.</t>
  </si>
  <si>
    <t xml:space="preserve">UC-03 2a</t>
  </si>
  <si>
    <t xml:space="preserve">CAT-005</t>
  </si>
  <si>
    <t xml:space="preserve">Unpublished</t>
  </si>
  <si>
    <t xml:space="preserve">Unpublished SKU hidden from guest</t>
  </si>
  <si>
    <t xml:space="preserve">HIDDEN-01 unpublished.</t>
  </si>
  <si>
    <t xml:space="preserve">Search HIDDEN-01 and open /p/HIDDEN-01.</t>
  </si>
  <si>
    <t xml:space="preserve">Not in search; detail is 404.</t>
  </si>
  <si>
    <t xml:space="preserve">FR-CAT-03, 06</t>
  </si>
  <si>
    <t xml:space="preserve">CAT-006</t>
  </si>
  <si>
    <t xml:space="preserve">Detail</t>
  </si>
  <si>
    <t xml:space="preserve">Product detail in-stock</t>
  </si>
  <si>
    <t xml:space="preserve">TS-001 stockQty=20.</t>
  </si>
  <si>
    <t xml:space="preserve">Open the product.</t>
  </si>
  <si>
    <t xml:space="preserve">Add to cart enabled; stock badge shows in stock.</t>
  </si>
  <si>
    <t xml:space="preserve">UC-04</t>
  </si>
  <si>
    <t xml:space="preserve">CAT-007</t>
  </si>
  <si>
    <t xml:space="preserve">Out-of-stock disables add</t>
  </si>
  <si>
    <t xml:space="preserve">BK-010 stockQty=0.</t>
  </si>
  <si>
    <t xml:space="preserve">Open BK-010.</t>
  </si>
  <si>
    <t xml:space="preserve">Add to cart and wishlist disabled.</t>
  </si>
  <si>
    <t xml:space="preserve">FR-CAT-07</t>
  </si>
  <si>
    <t xml:space="preserve">CAT-008</t>
  </si>
  <si>
    <t xml:space="preserve">API</t>
  </si>
  <si>
    <t xml:space="preserve">Unknown product id returns 404</t>
  </si>
  <si>
    <t xml:space="preserve">API reachable.</t>
  </si>
  <si>
    <t xml:space="preserve">GET /v1/products/does-not-exist</t>
  </si>
  <si>
    <t xml:space="preserve">HTTP 404 JSON with code and traceId; no stack trace.</t>
  </si>
  <si>
    <t xml:space="preserve">FR-CAT-05</t>
  </si>
  <si>
    <t xml:space="preserve">CAT-009</t>
  </si>
  <si>
    <t xml:space="preserve">Health</t>
  </si>
  <si>
    <t xml:space="preserve">/healthz ready for smoke</t>
  </si>
  <si>
    <t xml:space="preserve">Cluster up.</t>
  </si>
  <si>
    <t xml:space="preserve">GET /healthz and /readyz</t>
  </si>
  <si>
    <t xml:space="preserve">200; does not dump library versions.</t>
  </si>
  <si>
    <t xml:space="preserve">DEV-09</t>
  </si>
  <si>
    <t xml:space="preserve">CAT-010</t>
  </si>
  <si>
    <t xml:space="preserve">Pagination</t>
  </si>
  <si>
    <t xml:space="preserve">Catalogue paginates at 20</t>
  </si>
  <si>
    <t xml:space="preserve">More than 20 published products (seed extra if needed).</t>
  </si>
  <si>
    <t xml:space="preserve">Open page 1 then page 2.</t>
  </si>
  <si>
    <t xml:space="preserve">20 items on page 1; remainder on page 2.</t>
  </si>
  <si>
    <t xml:space="preserve">Cart &amp; Discount  /  Agatebo n'igabanuka</t>
  </si>
  <si>
    <t xml:space="preserve">Cart merge, EP/BVA on discount codes, 10% qty rule, shipping decision table. Maps to UC-05/06 and FR-CART-* / FR-DISC-* / FR-SHIP-01.</t>
  </si>
  <si>
    <t xml:space="preserve">CART-001</t>
  </si>
  <si>
    <t xml:space="preserve">Cart</t>
  </si>
  <si>
    <t xml:space="preserve">Add</t>
  </si>
  <si>
    <t xml:space="preserve">Add in-stock item to cart</t>
  </si>
  <si>
    <t xml:space="preserve">TS-001 in stock.</t>
  </si>
  <si>
    <t xml:space="preserve">Add qty 1 from the product page.</t>
  </si>
  <si>
    <t xml:space="preserve">Cart shows 1 × TS-001; confirmation shown.</t>
  </si>
  <si>
    <t xml:space="preserve">UC-05 / FR-CART-01</t>
  </si>
  <si>
    <t xml:space="preserve">CART-002</t>
  </si>
  <si>
    <t xml:space="preserve">Qty</t>
  </si>
  <si>
    <t xml:space="preserve">Qty greater than stock rejected</t>
  </si>
  <si>
    <t xml:space="preserve">Add qty 21.</t>
  </si>
  <si>
    <t xml:space="preserve">Rejected; remaining 20 shown; cart unchanged.</t>
  </si>
  <si>
    <t xml:space="preserve">FR-CART-02</t>
  </si>
  <si>
    <t xml:space="preserve">CART-003</t>
  </si>
  <si>
    <t xml:space="preserve">Merge</t>
  </si>
  <si>
    <t xml:space="preserve">Anonymous cart merges on login</t>
  </si>
  <si>
    <t xml:space="preserve">Guest cart has PC-500.</t>
  </si>
  <si>
    <t xml:space="preserve">Log in as amina@isoko.test.</t>
  </si>
  <si>
    <t xml:space="preserve">Cart retained; no duplicate SKU lines.</t>
  </si>
  <si>
    <t xml:space="preserve">FR-CART-03</t>
  </si>
  <si>
    <t xml:space="preserve">CART-004</t>
  </si>
  <si>
    <t xml:space="preserve">Totals</t>
  </si>
  <si>
    <t xml:space="preserve">Line totals = qty × unit price</t>
  </si>
  <si>
    <t xml:space="preserve">2 × PC-500 (5,000) in cart.</t>
  </si>
  <si>
    <t xml:space="preserve">Open the cart.</t>
  </si>
  <si>
    <t xml:space="preserve">Subtotal 10,000 RWF before shipping/discount.</t>
  </si>
  <si>
    <t xml:space="preserve">FR-CART-04</t>
  </si>
  <si>
    <t xml:space="preserve">CART-005</t>
  </si>
  <si>
    <t xml:space="preserve">Discount</t>
  </si>
  <si>
    <t xml:space="preserve">EP P1</t>
  </si>
  <si>
    <t xml:space="preserve">Code length 4 rejected</t>
  </si>
  <si>
    <t xml:space="preserve">Cart non-empty.</t>
  </si>
  <si>
    <t xml:space="preserve">Apply AB12.</t>
  </si>
  <si>
    <t xml:space="preserve">“code must be 5–10 characters”; totals unchanged.</t>
  </si>
  <si>
    <t xml:space="preserve">FR-DISC-02 / Appendix A.1</t>
  </si>
  <si>
    <t xml:space="preserve">CART-006</t>
  </si>
  <si>
    <t xml:space="preserve">EP P2</t>
  </si>
  <si>
    <t xml:space="preserve">Valid 10-character code accepted</t>
  </si>
  <si>
    <t xml:space="preserve">Active code SUMMER2026.</t>
  </si>
  <si>
    <t xml:space="preserve">Apply SUMMER2026.</t>
  </si>
  <si>
    <t xml:space="preserve">Applied per remaining rules; not a length error.</t>
  </si>
  <si>
    <t xml:space="preserve">FR-DISC-01 / upper boundary</t>
  </si>
  <si>
    <t xml:space="preserve">CART-007</t>
  </si>
  <si>
    <t xml:space="preserve">EP P3</t>
  </si>
  <si>
    <t xml:space="preserve">Code length 18 rejected</t>
  </si>
  <si>
    <t xml:space="preserve">Apply SUMMER2026BIGSALE1.</t>
  </si>
  <si>
    <t xml:space="preserve">Length error; totals unchanged.</t>
  </si>
  <si>
    <t xml:space="preserve">FR-DISC-02</t>
  </si>
  <si>
    <t xml:space="preserve">CART-008</t>
  </si>
  <si>
    <t xml:space="preserve">EP P4</t>
  </si>
  <si>
    <t xml:space="preserve">Non-alphanumeric code rejected</t>
  </si>
  <si>
    <t xml:space="preserve">Apply SAVE-25!.</t>
  </si>
  <si>
    <t xml:space="preserve">“code contains invalid characters”.</t>
  </si>
  <si>
    <t xml:space="preserve">FR-DISC-03</t>
  </si>
  <si>
    <t xml:space="preserve">CART-009</t>
  </si>
  <si>
    <t xml:space="preserve">BVA</t>
  </si>
  <si>
    <t xml:space="preserve">Length 5 accepted / 11 rejected</t>
  </si>
  <si>
    <t xml:space="preserve">Active 5-char code SAVE5 seeded.</t>
  </si>
  <si>
    <t xml:space="preserve">Try SAVE5, then SAVE5678901 (11 chars).</t>
  </si>
  <si>
    <t xml:space="preserve">5 accepted structurally; 11 rejected.</t>
  </si>
  <si>
    <t xml:space="preserve">FR-DISC-01, 02</t>
  </si>
  <si>
    <t xml:space="preserve">CART-010</t>
  </si>
  <si>
    <t xml:space="preserve">Unknown</t>
  </si>
  <si>
    <t xml:space="preserve">Unknown code does not reduce price</t>
  </si>
  <si>
    <t xml:space="preserve">Cart 10,000.</t>
  </si>
  <si>
    <t xml:space="preserve">Apply FAKE99.</t>
  </si>
  <si>
    <t xml:space="preserve">“code is not valid”; total unchanged.</t>
  </si>
  <si>
    <t xml:space="preserve">FR-DISC-04</t>
  </si>
  <si>
    <t xml:space="preserve">CART-011</t>
  </si>
  <si>
    <t xml:space="preserve">Qty rule</t>
  </si>
  <si>
    <t xml:space="preserve">5 items get 10% off</t>
  </si>
  <si>
    <t xml:space="preserve">PC-500 stock ≥ 5.</t>
  </si>
  <si>
    <t xml:space="preserve">Set qty 5; no code applied.</t>
  </si>
  <si>
    <t xml:space="preserve">Item subtotal 5 × 5,000 × 0.9 = 22,500.</t>
  </si>
  <si>
    <t xml:space="preserve">FR-DISC-05</t>
  </si>
  <si>
    <t xml:space="preserve">CART-012</t>
  </si>
  <si>
    <t xml:space="preserve">4 items get 0% off</t>
  </si>
  <si>
    <t xml:space="preserve">PC-500 stock ≥ 4.</t>
  </si>
  <si>
    <t xml:space="preserve">Set qty 4.</t>
  </si>
  <si>
    <t xml:space="preserve">Subtotal 20,000; no 10% discount.</t>
  </si>
  <si>
    <t xml:space="preserve">FR-DISC-05 boundary</t>
  </si>
  <si>
    <t xml:space="preserve">CART-013</t>
  </si>
  <si>
    <t xml:space="preserve">Shipping</t>
  </si>
  <si>
    <t xml:space="preserve">Decision table</t>
  </si>
  <si>
    <t xml:space="preserve">Standard buyer under 50k pays 2,500 home delivery (Kigali)</t>
  </si>
  <si>
    <t xml:space="preserve">eric.buyer@isoko.test Standard; subtotal 10,000.</t>
  </si>
  <si>
    <t xml:space="preserve">Open the checkout invoice (home delivery, Kigali).</t>
  </si>
  <si>
    <t xml:space="preserve">Shipping 2,500 RWF.</t>
  </si>
  <si>
    <t xml:space="preserve">FR-SHIP-01 / Appendix A.3 R4</t>
  </si>
  <si>
    <t xml:space="preserve">CART-014</t>
  </si>
  <si>
    <t xml:space="preserve">Gold buyer under 50k gets free shipping</t>
  </si>
  <si>
    <t xml:space="preserve">gold@isoko.test; subtotal 10,000.</t>
  </si>
  <si>
    <t xml:space="preserve">Open the checkout invoice as Gold.</t>
  </si>
  <si>
    <t xml:space="preserve">Shipping 0 RWF.</t>
  </si>
  <si>
    <t xml:space="preserve">Appendix A.3 R2</t>
  </si>
  <si>
    <t xml:space="preserve">Checkout  /  Kwishyura</t>
  </si>
  <si>
    <t xml:space="preserve">Place order, MoMo/Airtel/Card, escrow, timeout-after-Paid, idempotency, per-shop split. Maps to UC-07/08 and FR-CHK-* / FR-PAY-*.</t>
  </si>
  <si>
    <t xml:space="preserve">CO-001</t>
  </si>
  <si>
    <t xml:space="preserve">Gate</t>
  </si>
  <si>
    <t xml:space="preserve">Checkout requires login</t>
  </si>
  <si>
    <t xml:space="preserve">Guest cart non-empty.</t>
  </si>
  <si>
    <t xml:space="preserve">Click Checkout.</t>
  </si>
  <si>
    <t xml:space="preserve">Include::LOGIN; after success return to checkout.</t>
  </si>
  <si>
    <t xml:space="preserve">UC-07 / FR-CHK-01</t>
  </si>
  <si>
    <t xml:space="preserve">CO-002</t>
  </si>
  <si>
    <t xml:space="preserve">Empty</t>
  </si>
  <si>
    <t xml:space="preserve">Empty cart cannot place order</t>
  </si>
  <si>
    <t xml:space="preserve">Logged in, empty cart.</t>
  </si>
  <si>
    <t xml:space="preserve">POST place order or click Pay.</t>
  </si>
  <si>
    <t xml:space="preserve">Rejected; no order row.</t>
  </si>
  <si>
    <t xml:space="preserve">FR-CHK-09</t>
  </si>
  <si>
    <t xml:space="preserve">CO-003</t>
  </si>
  <si>
    <t xml:space="preserve">Happy MoMo</t>
  </si>
  <si>
    <t xml:space="preserve">MoMo success → Paid, escrow held</t>
  </si>
  <si>
    <t xml:space="preserve">amina@ cart valid; stub set to success.</t>
  </si>
  <si>
    <t xml:space="preserve">Checkout → MTN MoMo → approve.</t>
  </si>
  <si>
    <t xml:space="preserve">“transaction successful” with order number; Order=Paid; payment=held (escrow); notification requested; stock committed.</t>
  </si>
  <si>
    <t xml:space="preserve">UC-08 main / FR-PAY-06</t>
  </si>
  <si>
    <t xml:space="preserve">CO-004</t>
  </si>
  <si>
    <t xml:space="preserve">Happy Card</t>
  </si>
  <si>
    <t xml:space="preserve">Card success → Paid</t>
  </si>
  <si>
    <t xml:space="preserve">Stub set to success.</t>
  </si>
  <si>
    <t xml:space="preserve">Checkout → Card → confirm.</t>
  </si>
  <si>
    <t xml:space="preserve">Paid; card number not stored (inspect DB/payload).</t>
  </si>
  <si>
    <t xml:space="preserve">FR-PAY-07</t>
  </si>
  <si>
    <t xml:space="preserve">CO-005</t>
  </si>
  <si>
    <t xml:space="preserve">Payment</t>
  </si>
  <si>
    <t xml:space="preserve">Decline</t>
  </si>
  <si>
    <t xml:space="preserve">Declined payment — buyer not charged</t>
  </si>
  <si>
    <t xml:space="preserve">Stub set to decline.</t>
  </si>
  <si>
    <t xml:space="preserve">Confirm pay.</t>
  </si>
  <si>
    <t xml:space="preserve">Error displayed; order stays Placed; no Paid order; money = 0.</t>
  </si>
  <si>
    <t xml:space="preserve">FR-CHK-06</t>
  </si>
  <si>
    <t xml:space="preserve">CO-006</t>
  </si>
  <si>
    <t xml:space="preserve">Cancel</t>
  </si>
  <si>
    <t xml:space="preserve">Buyer cancels before pay</t>
  </si>
  <si>
    <t xml:space="preserve">On the invoice step.</t>
  </si>
  <si>
    <t xml:space="preserve">Click Cancel and confirm “are you sure?”.</t>
  </si>
  <si>
    <t xml:space="preserve">Back to cart; no order; no charge.</t>
  </si>
  <si>
    <t xml:space="preserve">UC-07 *a</t>
  </si>
  <si>
    <t xml:space="preserve">CO-007</t>
  </si>
  <si>
    <t xml:space="preserve">Idempotency</t>
  </si>
  <si>
    <t xml:space="preserve">Double submit does not double charge</t>
  </si>
  <si>
    <t xml:space="preserve">Double-click Place order / replay the Idempotency-Key.</t>
  </si>
  <si>
    <t xml:space="preserve">One order, one charge.</t>
  </si>
  <si>
    <t xml:space="preserve">FR-CHK-05</t>
  </si>
  <si>
    <t xml:space="preserve">CO-008</t>
  </si>
  <si>
    <t xml:space="preserve">Timeout</t>
  </si>
  <si>
    <t xml:space="preserve">45 s no callback → PaymentTimedOut, not Paid</t>
  </si>
  <si>
    <t xml:space="preserve">Stub set to timeout.</t>
  </si>
  <si>
    <t xml:space="preserve">Start MoMo pay; wait past 45 s.</t>
  </si>
  <si>
    <t xml:space="preserve">State PaymentTimedOut; buyer not charged; message to retry.</t>
  </si>
  <si>
    <t xml:space="preserve">FR-PAY-04</t>
  </si>
  <si>
    <t xml:space="preserve">CO-009</t>
  </si>
  <si>
    <t xml:space="preserve">Timeout after Paid</t>
  </si>
  <si>
    <t xml:space="preserve">Late timeout after provisional Paid is corrected</t>
  </si>
  <si>
    <t xml:space="preserve">Stub: success then timeout signal.</t>
  </si>
  <si>
    <t xml:space="preserve">Complete pay; inject timeout/cancel from the stub.</t>
  </si>
  <si>
    <t xml:space="preserve">Order leaves Paid → PaymentTimedOut/reconciled; ops alert; stock and money consistent.</t>
  </si>
  <si>
    <t xml:space="preserve">FR-CHK-10</t>
  </si>
  <si>
    <t xml:space="preserve">CO-010</t>
  </si>
  <si>
    <t xml:space="preserve">Webhook</t>
  </si>
  <si>
    <t xml:space="preserve">Duplicate or forged callback is ignored</t>
  </si>
  <si>
    <t xml:space="preserve">Order already Paid.</t>
  </si>
  <si>
    <t xml:space="preserve">1. Replay the success webhook.
2. Send one with a wrong HMAC.</t>
  </si>
  <si>
    <t xml:space="preserve">Still one Paid order, no second capture; forged callback rejected, state unchanged.</t>
  </si>
  <si>
    <t xml:space="preserve">FR-PAY-03, 05</t>
  </si>
  <si>
    <t xml:space="preserve">CO-011</t>
  </si>
  <si>
    <t xml:space="preserve">10 minute abandon</t>
  </si>
  <si>
    <t xml:space="preserve">Unpaid order is cancelled after 10 minutes</t>
  </si>
  <si>
    <t xml:space="preserve">Order Placed, not paid.</t>
  </si>
  <si>
    <t xml:space="preserve">Wait 10+ minutes (or trigger the job).</t>
  </si>
  <si>
    <t xml:space="preserve">Order Cancelled; reserved stock available again.</t>
  </si>
  <si>
    <t xml:space="preserve">FR-CHK-07, CART-05</t>
  </si>
  <si>
    <t xml:space="preserve">CO-012</t>
  </si>
  <si>
    <t xml:space="preserve">OOS race</t>
  </si>
  <si>
    <t xml:space="preserve">Last item bought by two buyers</t>
  </si>
  <si>
    <t xml:space="preserve">LIM-001 stockQty=1; two sessions.</t>
  </si>
  <si>
    <t xml:space="preserve">Both attempt checkout.</t>
  </si>
  <si>
    <t xml:space="preserve">Only one Paid; the other sees a stock error; no oversell.</t>
  </si>
  <si>
    <t xml:space="preserve">CO-013</t>
  </si>
  <si>
    <t xml:space="preserve">Invoice</t>
  </si>
  <si>
    <t xml:space="preserve">Invoice shows subtotal, shipping, discount, total</t>
  </si>
  <si>
    <t xml:space="preserve">Cart with SUMMER2026 and a shipping rule.</t>
  </si>
  <si>
    <t xml:space="preserve">Reach the invoice step.</t>
  </si>
  <si>
    <t xml:space="preserve">Four figures visible in RWF; match FR-CART-04 rules.</t>
  </si>
  <si>
    <t xml:space="preserve">FR-CHK-03</t>
  </si>
  <si>
    <t xml:space="preserve">CO-014</t>
  </si>
  <si>
    <t xml:space="preserve">Multi-vendor</t>
  </si>
  <si>
    <t xml:space="preserve">Cart with two shops is split per shop</t>
  </si>
  <si>
    <t xml:space="preserve">Cart has TS-001 (Eric Fashion) and BK-020 (Kigali Books, in stock).</t>
  </si>
  <si>
    <t xml:space="preserve">Check out and pay.</t>
  </si>
  <si>
    <t xml:space="preserve">One order with two shop groups; each seller sees only their items.</t>
  </si>
  <si>
    <t xml:space="preserve">FR-CHK-04</t>
  </si>
  <si>
    <t xml:space="preserve">Wishlist &amp; Orders  /  Ibyifuzo n'ibitumwa</t>
  </si>
  <si>
    <t xml:space="preserve">FR-WL-01..05 including persistence, IDOR, cancel-refund, legal and illegal order transitions. Maps to UC-09/10 and FR-ORD-*.</t>
  </si>
  <si>
    <t xml:space="preserve">WO-001</t>
  </si>
  <si>
    <t xml:space="preserve">Wishlist</t>
  </si>
  <si>
    <t xml:space="preserve">Add in-stock item (FR-WL-01)</t>
  </si>
  <si>
    <t xml:space="preserve">Logged in as amina@; TS-001 in stock.</t>
  </si>
  <si>
    <t xml:space="preserve">Click Save to wishlist.</t>
  </si>
  <si>
    <t xml:space="preserve">Item on the wishlist page.</t>
  </si>
  <si>
    <t xml:space="preserve">UC-09</t>
  </si>
  <si>
    <t xml:space="preserve">WO-002</t>
  </si>
  <si>
    <t xml:space="preserve">OOS</t>
  </si>
  <si>
    <t xml:space="preserve">Cannot add out-of-stock (FR-WL-02)</t>
  </si>
  <si>
    <t xml:space="preserve">BK-010 out of stock.</t>
  </si>
  <si>
    <t xml:space="preserve">Save to wishlist.</t>
  </si>
  <si>
    <t xml:space="preserve">Rejected with message.</t>
  </si>
  <si>
    <t xml:space="preserve">FR-WL-02</t>
  </si>
  <si>
    <t xml:space="preserve">WO-003</t>
  </si>
  <si>
    <t xml:space="preserve">Auth</t>
  </si>
  <si>
    <t xml:space="preserve">Guest wishlist redirects to login</t>
  </si>
  <si>
    <t xml:space="preserve">Logged out.</t>
  </si>
  <si>
    <t xml:space="preserve">Open /wishlist.</t>
  </si>
  <si>
    <t xml:space="preserve">Redirect to login; after login return to the wishlist.</t>
  </si>
  <si>
    <t xml:space="preserve">UC-09 1b</t>
  </si>
  <si>
    <t xml:space="preserve">WO-004</t>
  </si>
  <si>
    <t xml:space="preserve">Icon</t>
  </si>
  <si>
    <t xml:space="preserve">Icon updates without full refresh (FR-WL-03)</t>
  </si>
  <si>
    <t xml:space="preserve">Logged in on a product page.</t>
  </si>
  <si>
    <t xml:space="preserve">Add to wishlist; watch the icon.</t>
  </si>
  <si>
    <t xml:space="preserve">Icon/count updates immediately.</t>
  </si>
  <si>
    <t xml:space="preserve">FR-WL-03</t>
  </si>
  <si>
    <t xml:space="preserve">WO-005</t>
  </si>
  <si>
    <t xml:space="preserve">Move wishlist item to cart (FR-WL-05)</t>
  </si>
  <si>
    <t xml:space="preserve">Item on the wishlist.</t>
  </si>
  <si>
    <t xml:space="preserve">Move to cart.</t>
  </si>
  <si>
    <t xml:space="preserve">Cart has the SKU.</t>
  </si>
  <si>
    <t xml:space="preserve">FR-WL-05</t>
  </si>
  <si>
    <t xml:space="preserve">WO-006</t>
  </si>
  <si>
    <t xml:space="preserve">Persist</t>
  </si>
  <si>
    <t xml:space="preserve">Wishlist persists across sessions (FR-WL-04)</t>
  </si>
  <si>
    <t xml:space="preserve">Item saved.</t>
  </si>
  <si>
    <t xml:space="preserve">Logout, login, open the wishlist.</t>
  </si>
  <si>
    <t xml:space="preserve">Item still present. This case MUST stay on the RTM.</t>
  </si>
  <si>
    <t xml:space="preserve">FR-WL-04</t>
  </si>
  <si>
    <t xml:space="preserve">WO-007</t>
  </si>
  <si>
    <t xml:space="preserve">Unpublished product cannot stay actionable</t>
  </si>
  <si>
    <t xml:space="preserve">Seller unpublishes a wishlisted SKU.</t>
  </si>
  <si>
    <t xml:space="preserve">Open the wishlist.</t>
  </si>
  <si>
    <t xml:space="preserve">Item marked unavailable; move-to-cart disabled.</t>
  </si>
  <si>
    <t xml:space="preserve">FR-CAT-03</t>
  </si>
  <si>
    <t xml:space="preserve">WO-008</t>
  </si>
  <si>
    <t xml:space="preserve">Orders</t>
  </si>
  <si>
    <t xml:space="preserve">Track</t>
  </si>
  <si>
    <t xml:space="preserve">Buyer sees own Paid order</t>
  </si>
  <si>
    <t xml:space="preserve">CO-003 succeeded.</t>
  </si>
  <si>
    <t xml:space="preserve">Open My orders.</t>
  </si>
  <si>
    <t xml:space="preserve">Order number, Paid, lines by shop visible.</t>
  </si>
  <si>
    <t xml:space="preserve">UC-10 / FR-ORD-03</t>
  </si>
  <si>
    <t xml:space="preserve">WO-009</t>
  </si>
  <si>
    <t xml:space="preserve">IDOR</t>
  </si>
  <si>
    <t xml:space="preserve">Buyer A cannot read Buyer B's order</t>
  </si>
  <si>
    <t xml:space="preserve">Two buyers with orders.</t>
  </si>
  <si>
    <t xml:space="preserve">As A, GET /v1/orders/{B.id} and open B's URL.</t>
  </si>
  <si>
    <t xml:space="preserve">404 (not 403 with body leak).</t>
  </si>
  <si>
    <t xml:space="preserve">FR-ORD-01 / SEC-04</t>
  </si>
  <si>
    <t xml:space="preserve">WO-010</t>
  </si>
  <si>
    <t xml:space="preserve">State</t>
  </si>
  <si>
    <t xml:space="preserve">Legal path Placed→Paid→Shipped→Delivered</t>
  </si>
  <si>
    <t xml:space="preserve">A Paid order; seller and agent accounts.</t>
  </si>
  <si>
    <t xml:space="preserve">Seller ships with tracking; agent enters the delivery OTP.</t>
  </si>
  <si>
    <t xml:space="preserve">Each transition succeeds; notifications requested; payout follows Delivered.</t>
  </si>
  <si>
    <t xml:space="preserve">FR-ORD-02, 06, 07</t>
  </si>
  <si>
    <t xml:space="preserve">WO-011</t>
  </si>
  <si>
    <t xml:space="preserve">Illegal</t>
  </si>
  <si>
    <t xml:space="preserve">Reject Delivered → Placed</t>
  </si>
  <si>
    <t xml:space="preserve">Delivered order.</t>
  </si>
  <si>
    <t xml:space="preserve">PATCH state=Placed.</t>
  </si>
  <si>
    <t xml:space="preserve">HTTP 409 (ORD-409); state unchanged.</t>
  </si>
  <si>
    <t xml:space="preserve">FR-ORD-02</t>
  </si>
  <si>
    <t xml:space="preserve">WO-012</t>
  </si>
  <si>
    <t xml:space="preserve">Cancel a Paid order before shipping → refunded</t>
  </si>
  <si>
    <t xml:space="preserve">Paid order, not yet Shipped.</t>
  </si>
  <si>
    <t xml:space="preserve">Buyer cancels the order.</t>
  </si>
  <si>
    <t xml:space="preserve">Order Refunded; full refund to the original method; stock released.</t>
  </si>
  <si>
    <t xml:space="preserve">FR-ORD-04 / FR-PAY-10</t>
  </si>
  <si>
    <t xml:space="preserve">WO-013</t>
  </si>
  <si>
    <t xml:space="preserve">Reject shipping an unpaid Placed order</t>
  </si>
  <si>
    <t xml:space="preserve">Placed, unpaid order.</t>
  </si>
  <si>
    <t xml:space="preserve">Seller marks Shipped.</t>
  </si>
  <si>
    <t xml:space="preserve">Rejected; stays Placed.</t>
  </si>
  <si>
    <t xml:space="preserve">UC-13 3a</t>
  </si>
  <si>
    <t xml:space="preserve">WO-014</t>
  </si>
  <si>
    <t xml:space="preserve">Unknown order id is 404</t>
  </si>
  <si>
    <t xml:space="preserve">Open /orders/no-such-id.</t>
  </si>
  <si>
    <t xml:space="preserve">404.</t>
  </si>
  <si>
    <t xml:space="preserve">FR-ORD-01</t>
  </si>
  <si>
    <t xml:space="preserve">Seller &amp; Admin  /  Abacuruzi n'ubuyobozi</t>
  </si>
  <si>
    <t xml:space="preserve">Authorisation, seller onboarding, listings, shipping with OTP, payout release, quick-start validation task (LO4). Maps to UC-11..14 and FR-SEL-* / FR-ADM-*.</t>
  </si>
  <si>
    <t xml:space="preserve">SA-001</t>
  </si>
  <si>
    <t xml:space="preserve">Admin</t>
  </si>
  <si>
    <t xml:space="preserve">Authz</t>
  </si>
  <si>
    <t xml:space="preserve">Buyer cannot open admin console or seller API</t>
  </si>
  <si>
    <t xml:space="preserve">amina@ is a buyer.</t>
  </si>
  <si>
    <t xml:space="preserve">GET /admin and POST /v1/seller/products.</t>
  </si>
  <si>
    <t xml:space="preserve">403 / redirect; no product created.</t>
  </si>
  <si>
    <t xml:space="preserve">FR-ADM-01 / SEC-04</t>
  </si>
  <si>
    <t xml:space="preserve">SA-002</t>
  </si>
  <si>
    <t xml:space="preserve">Seller</t>
  </si>
  <si>
    <t xml:space="preserve">Onboarding</t>
  </si>
  <si>
    <t xml:space="preserve">Admin approves a seller before publishing</t>
  </si>
  <si>
    <t xml:space="preserve">newseller@isoko.test applied with an ID document.</t>
  </si>
  <si>
    <t xml:space="preserve">1. Seller tries to publish (blocked).
2. Admin approves.
3. Seller publishes.</t>
  </si>
  <si>
    <t xml:space="preserve">Publish blocked until approval; approval notification sent; publish then succeeds.</t>
  </si>
  <si>
    <t xml:space="preserve">UC-11 / FR-SEL-01..04</t>
  </si>
  <si>
    <t xml:space="preserve">SA-003</t>
  </si>
  <si>
    <t xml:space="preserve">Publish</t>
  </si>
  <si>
    <t xml:space="preserve">Seller publishes a unique SKU</t>
  </si>
  <si>
    <t xml:space="preserve">seller@isoko.test approved.</t>
  </si>
  <si>
    <t xml:space="preserve">Create BAG-300, published, price 15,000, stock 5.</t>
  </si>
  <si>
    <t xml:space="preserve">Appears on the storefront within 5 s.</t>
  </si>
  <si>
    <t xml:space="preserve">UC-12 / FR-CAT-08</t>
  </si>
  <si>
    <t xml:space="preserve">SA-004</t>
  </si>
  <si>
    <t xml:space="preserve">Duplicate</t>
  </si>
  <si>
    <t xml:space="preserve">Duplicate SKU rejected</t>
  </si>
  <si>
    <t xml:space="preserve">TS-001 exists in the shop.</t>
  </si>
  <si>
    <t xml:space="preserve">Create another TS-001.</t>
  </si>
  <si>
    <t xml:space="preserve">Validation error; original unchanged.</t>
  </si>
  <si>
    <t xml:space="preserve">FR-SEL-06</t>
  </si>
  <si>
    <t xml:space="preserve">SA-005</t>
  </si>
  <si>
    <t xml:space="preserve">Stock / price</t>
  </si>
  <si>
    <t xml:space="preserve">Negative stock or zero price rejected</t>
  </si>
  <si>
    <t xml:space="preserve">Seller on BAG-300.</t>
  </si>
  <si>
    <t xml:space="preserve">Set stockQty=-1, then price=0.</t>
  </si>
  <si>
    <t xml:space="preserve">Both rejected.</t>
  </si>
  <si>
    <t xml:space="preserve">FR-SEL-07</t>
  </si>
  <si>
    <t xml:space="preserve">SA-006</t>
  </si>
  <si>
    <t xml:space="preserve">Ship</t>
  </si>
  <si>
    <t xml:space="preserve">Seller ships a Paid order with tracking</t>
  </si>
  <si>
    <t xml:space="preserve">A Paid order for the seller.</t>
  </si>
  <si>
    <t xml:space="preserve">Enter tracking number; click Mark shipped.</t>
  </si>
  <si>
    <t xml:space="preserve">State=Shipped; buyer gets a single-use delivery OTP.</t>
  </si>
  <si>
    <t xml:space="preserve">UC-13 / FR-SEL-09, FR-ORD-06</t>
  </si>
  <si>
    <t xml:space="preserve">SA-007</t>
  </si>
  <si>
    <t xml:space="preserve">Payout</t>
  </si>
  <si>
    <t xml:space="preserve">OTP delivery releases payout net of commission</t>
  </si>
  <si>
    <t xml:space="preserve">Shipped order for 1 × TS-001 (8,000 RWF).</t>
  </si>
  <si>
    <t xml:space="preserve">Agent enters the buyer's OTP.</t>
  </si>
  <si>
    <t xml:space="preserve">State=Delivered; seller payout 7,200 RWF (8,000 − 8 % commission − 2 % fee); recorded in ledger.</t>
  </si>
  <si>
    <t xml:space="preserve">UC-14 / FR-PAY-09</t>
  </si>
  <si>
    <t xml:space="preserve">SA-008</t>
  </si>
  <si>
    <t xml:space="preserve">Quick-start</t>
  </si>
  <si>
    <t xml:space="preserve">Seller completes publish + ship using only the quick-start</t>
  </si>
  <si>
    <t xml:space="preserve">O4 participant is not the feature's developer.</t>
  </si>
  <si>
    <t xml:space="preserve">Hand over only the quick-start guide; time the task.</t>
  </si>
  <si>
    <t xml:space="preserve">Task success without developer help; time recorded on the Protocol sheet.</t>
  </si>
  <si>
    <t xml:space="preserve">LO4 UAT objective — validation, not verification</t>
  </si>
  <si>
    <t xml:space="preserve">Non-functional  /  Imikorere n'umutekano</t>
  </si>
  <si>
    <t xml:space="preserve">Performance, pipeline, containers, security scans, observability and accessibility. Maps to NFR-* / SEC-* / DEV-*.</t>
  </si>
  <si>
    <t xml:space="preserve">NF-001</t>
  </si>
  <si>
    <t xml:space="preserve">Perf</t>
  </si>
  <si>
    <t xml:space="preserve">Login p95 ≤ 500 ms at 100 concurrent</t>
  </si>
  <si>
    <t xml:space="preserve">JMeter/k6 script; UAT cluster.</t>
  </si>
  <si>
    <t xml:space="preserve">Ramp 100 users logging in.</t>
  </si>
  <si>
    <t xml:space="preserve">p95 ≤ 500 ms; error rate &lt; 1 %.</t>
  </si>
  <si>
    <t xml:space="preserve">NFR-PERF-03</t>
  </si>
  <si>
    <t xml:space="preserve">NF-002</t>
  </si>
  <si>
    <t xml:space="preserve">Load</t>
  </si>
  <si>
    <t xml:space="preserve">50 concurrent checkouts for 60 s, error rate &lt; 1 %</t>
  </si>
  <si>
    <t xml:space="preserve">k6 script.</t>
  </si>
  <si>
    <t xml:space="preserve">50 users for 60 s against the checkout API.</t>
  </si>
  <si>
    <t xml:space="preserve">Error rate &lt; 1 %; report attached.</t>
  </si>
  <si>
    <t xml:space="preserve">NFR-PERF-04</t>
  </si>
  <si>
    <t xml:space="preserve">NF-003</t>
  </si>
  <si>
    <t xml:space="preserve">Stress</t>
  </si>
  <si>
    <t xml:space="preserve">200 concurrent fails gracefully</t>
  </si>
  <si>
    <t xml:space="preserve">Stress script.</t>
  </si>
  <si>
    <t xml:space="preserve">200 concurrent checkouts.</t>
  </si>
  <si>
    <t xml:space="preserve">No paid-without-stock; no HTML 500 stack traces; pods scale (HPA).</t>
  </si>
  <si>
    <t xml:space="preserve">NFR-REL-02 / NFR-SCL-01</t>
  </si>
  <si>
    <t xml:space="preserve">NF-004</t>
  </si>
  <si>
    <t xml:space="preserve">Pipeline</t>
  </si>
  <si>
    <t xml:space="preserve">CI test stage blocks a failing unit test</t>
  </si>
  <si>
    <t xml:space="preserve">Repo with Jest tests.</t>
  </si>
  <si>
    <t xml:space="preserve">Push a failing unit test on a branch.</t>
  </si>
  <si>
    <t xml:space="preserve">Pipeline red; deploy did not run; merge blocked.</t>
  </si>
  <si>
    <t xml:space="preserve">DEV-03, 04</t>
  </si>
  <si>
    <t xml:space="preserve">NF-005</t>
  </si>
  <si>
    <t xml:space="preserve">Security</t>
  </si>
  <si>
    <t xml:space="preserve">Dependency and image scan gate</t>
  </si>
  <si>
    <t xml:space="preserve">Pipeline configured.</t>
  </si>
  <si>
    <t xml:space="preserve">Open the pipeline log; add a HIGH-severity test dependency.</t>
  </si>
  <si>
    <t xml:space="preserve">Audit and Trivy steps present; HIGH finding fails the build.</t>
  </si>
  <si>
    <t xml:space="preserve">SEC-11</t>
  </si>
  <si>
    <t xml:space="preserve">NF-006</t>
  </si>
  <si>
    <t xml:space="preserve">Containers</t>
  </si>
  <si>
    <t xml:space="preserve">docker compose up is healthy in ≤ 3 minutes</t>
  </si>
  <si>
    <t xml:space="preserve">Clean machine with Docker.</t>
  </si>
  <si>
    <t xml:space="preserve">Run docker compose up; then docker compose ps.</t>
  </si>
  <si>
    <t xml:space="preserve">Web, API, database, Redis, RabbitMQ healthy with seed data in ≤ 3 minutes.</t>
  </si>
  <si>
    <t xml:space="preserve">DEV-01, 02</t>
  </si>
  <si>
    <t xml:space="preserve">NF-007</t>
  </si>
  <si>
    <t xml:space="preserve">Logs</t>
  </si>
  <si>
    <t xml:space="preserve">JSON logs include trace_id</t>
  </si>
  <si>
    <t xml:space="preserve">Hit /v1/products.</t>
  </si>
  <si>
    <t xml:space="preserve">Read API stdout / Loki.</t>
  </si>
  <si>
    <t xml:space="preserve">One JSON object per line with trace_id; no passwords or OTPs.</t>
  </si>
  <si>
    <t xml:space="preserve">DEV-09 / NFR-LOG-01</t>
  </si>
  <si>
    <t xml:space="preserve">NF-008</t>
  </si>
  <si>
    <t xml:space="preserve">Dashboard</t>
  </si>
  <si>
    <t xml:space="preserve">Grafana shows the four golden signals</t>
  </si>
  <si>
    <t xml:space="preserve">Monitoring stack deployed.</t>
  </si>
  <si>
    <t xml:space="preserve">Open the dashboard.</t>
  </si>
  <si>
    <t xml:space="preserve">Latency, traffic, errors and saturation panels with live data.</t>
  </si>
  <si>
    <t xml:space="preserve">DEV-10 / SLOs 8.2</t>
  </si>
  <si>
    <t xml:space="preserve">NF-009</t>
  </si>
  <si>
    <t xml:space="preserve">Alert</t>
  </si>
  <si>
    <t xml:space="preserve">Checkout-success alert reaches the channel</t>
  </si>
  <si>
    <t xml:space="preserve">Alert rule + Slack/e-mail webhook.</t>
  </si>
  <si>
    <t xml:space="preserve">Force payment failures below the 95 % threshold.</t>
  </si>
  <si>
    <t xml:space="preserve">Notification received; evidence attached.</t>
  </si>
  <si>
    <t xml:space="preserve">SLO checkout success</t>
  </si>
  <si>
    <t xml:space="preserve">NF-010</t>
  </si>
  <si>
    <t xml:space="preserve">A11y</t>
  </si>
  <si>
    <t xml:space="preserve">Checkout keyboard-only</t>
  </si>
  <si>
    <t xml:space="preserve">Browser, no mouse.</t>
  </si>
  <si>
    <t xml:space="preserve">Tab through checkout; complete with the keyboard.</t>
  </si>
  <si>
    <t xml:space="preserve">All controls reachable; labels announced.</t>
  </si>
  <si>
    <t xml:space="preserve">NFR-ACC-01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</si>
</sst>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"/>
    <numFmt numFmtId="167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B365D"/>
      <name val="Calibri"/>
      <family val="0"/>
      <charset val="1"/>
    </font>
    <font>
      <b val="true"/>
      <sz val="16"/>
      <color rgb="FF1B365D"/>
      <name val="Calibri"/>
      <family val="0"/>
      <charset val="1"/>
    </font>
    <font>
      <sz val="12"/>
      <color rgb="FF5C657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B365D"/>
      <name val="Calibri"/>
      <family val="0"/>
      <charset val="1"/>
    </font>
    <font>
      <sz val="11"/>
      <color rgb="FF1A1A1A"/>
      <name val="Calibri"/>
      <family val="0"/>
      <charset val="1"/>
    </font>
    <font>
      <i val="true"/>
      <sz val="9"/>
      <color rgb="FF5C657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1A1A1A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365D"/>
        <bgColor rgb="FF333399"/>
      </patternFill>
    </fill>
    <fill>
      <patternFill patternType="solid">
        <fgColor rgb="FFFFFFFF"/>
        <bgColor rgb="FFF4F6F8"/>
      </patternFill>
    </fill>
    <fill>
      <patternFill patternType="solid">
        <fgColor rgb="FFF4F6F8"/>
        <bgColor rgb="FFEEF2F6"/>
      </patternFill>
    </fill>
    <fill>
      <patternFill patternType="solid">
        <fgColor rgb="FF2A6F7F"/>
        <bgColor rgb="FF1F7A4D"/>
      </patternFill>
    </fill>
    <fill>
      <patternFill patternType="solid">
        <fgColor rgb="FF1F7A4D"/>
        <bgColor rgb="FF2A6F7F"/>
      </patternFill>
    </fill>
    <fill>
      <patternFill patternType="solid">
        <fgColor rgb="FF8B3A3A"/>
        <bgColor rgb="FF993300"/>
      </patternFill>
    </fill>
    <fill>
      <patternFill patternType="solid">
        <fgColor rgb="FF9A6B12"/>
        <bgColor rgb="FFC0504D"/>
      </patternFill>
    </fill>
    <fill>
      <patternFill patternType="solid">
        <fgColor rgb="FF5C6570"/>
        <bgColor rgb="FF8064A2"/>
      </patternFill>
    </fill>
    <fill>
      <patternFill patternType="solid">
        <fgColor rgb="FFEEF2F6"/>
        <bgColor rgb="FFF4F6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365D"/>
          <bgColor rgb="FF000000"/>
        </patternFill>
      </fill>
    </dxf>
    <dxf>
      <fill>
        <patternFill patternType="solid">
          <fgColor rgb="FFF4F6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B12"/>
      <rgbColor rgb="FF800080"/>
      <rgbColor rgb="FF1F7A4D"/>
      <rgbColor rgb="FFD9D9D9"/>
      <rgbColor rgb="FF878787"/>
      <rgbColor rgb="FF8064A2"/>
      <rgbColor rgb="FF8B3A3A"/>
      <rgbColor rgb="FFF4F6F8"/>
      <rgbColor rgb="FFEEF2F6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2A6F7F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C6570"/>
      <rgbColor rgb="FFC4A35A"/>
      <rgbColor rgb="FF1B365D"/>
      <rgbColor rgb="FF339966"/>
      <rgbColor rgb="FF003300"/>
      <rgbColor rgb="FF333300"/>
      <rgbColor rgb="FF993300"/>
      <rgbColor rgb="FFC0504D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UAT status by module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Dashboard!C5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Dashboard!$B$6:$B$12</c:f>
              <c:strCache>
                <c:ptCount val="7"/>
                <c:pt idx="0">
                  <c:v>Authentication</c:v>
                </c:pt>
                <c:pt idx="1">
                  <c:v>Catalogue</c:v>
                </c:pt>
                <c:pt idx="2">
                  <c:v>Cart &amp; Discount</c:v>
                </c:pt>
                <c:pt idx="3">
                  <c:v>Checkout</c:v>
                </c:pt>
                <c:pt idx="4">
                  <c:v>Wishlist &amp; Orders</c:v>
                </c:pt>
                <c:pt idx="5">
                  <c:v>Seller &amp; Admin</c:v>
                </c:pt>
                <c:pt idx="6">
                  <c:v>Non-functional</c:v>
                </c:pt>
              </c:strCache>
            </c:strRef>
          </c:cat>
          <c:val>
            <c:numRef>
              <c:f>Dashboard!$C$6:$C$12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Dashboard!D5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Dashboard!$B$6:$B$12</c:f>
              <c:strCache>
                <c:ptCount val="7"/>
                <c:pt idx="0">
                  <c:v>Authentication</c:v>
                </c:pt>
                <c:pt idx="1">
                  <c:v>Catalogue</c:v>
                </c:pt>
                <c:pt idx="2">
                  <c:v>Cart &amp; Discount</c:v>
                </c:pt>
                <c:pt idx="3">
                  <c:v>Checkout</c:v>
                </c:pt>
                <c:pt idx="4">
                  <c:v>Wishlist &amp; Orders</c:v>
                </c:pt>
                <c:pt idx="5">
                  <c:v>Seller &amp; Admin</c:v>
                </c:pt>
                <c:pt idx="6">
                  <c:v>Non-functional</c:v>
                </c:pt>
              </c:strCache>
            </c:strRef>
          </c:cat>
          <c:val>
            <c:numRef>
              <c:f>Dashboard!$D$6:$D$12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Dashboard!E5</c:f>
              <c:strCache>
                <c:ptCount val="1"/>
                <c:pt idx="0">
                  <c:v>Blocked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Dashboard!$B$6:$B$12</c:f>
              <c:strCache>
                <c:ptCount val="7"/>
                <c:pt idx="0">
                  <c:v>Authentication</c:v>
                </c:pt>
                <c:pt idx="1">
                  <c:v>Catalogue</c:v>
                </c:pt>
                <c:pt idx="2">
                  <c:v>Cart &amp; Discount</c:v>
                </c:pt>
                <c:pt idx="3">
                  <c:v>Checkout</c:v>
                </c:pt>
                <c:pt idx="4">
                  <c:v>Wishlist &amp; Orders</c:v>
                </c:pt>
                <c:pt idx="5">
                  <c:v>Seller &amp; Admin</c:v>
                </c:pt>
                <c:pt idx="6">
                  <c:v>Non-functional</c:v>
                </c:pt>
              </c:strCache>
            </c:strRef>
          </c:cat>
          <c:val>
            <c:numRef>
              <c:f>Dashboard!$E$6:$E$12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Dashboard!F5</c:f>
              <c:strCache>
                <c:ptCount val="1"/>
                <c:pt idx="0">
                  <c:v>Not Executed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Dashboard!$B$6:$B$12</c:f>
              <c:strCache>
                <c:ptCount val="7"/>
                <c:pt idx="0">
                  <c:v>Authentication</c:v>
                </c:pt>
                <c:pt idx="1">
                  <c:v>Catalogue</c:v>
                </c:pt>
                <c:pt idx="2">
                  <c:v>Cart &amp; Discount</c:v>
                </c:pt>
                <c:pt idx="3">
                  <c:v>Checkout</c:v>
                </c:pt>
                <c:pt idx="4">
                  <c:v>Wishlist &amp; Orders</c:v>
                </c:pt>
                <c:pt idx="5">
                  <c:v>Seller &amp; Admin</c:v>
                </c:pt>
                <c:pt idx="6">
                  <c:v>Non-functional</c:v>
                </c:pt>
              </c:strCache>
            </c:strRef>
          </c:cat>
          <c:val>
            <c:numRef>
              <c:f>Dashboard!$F$6:$F$12</c:f>
              <c:numCache>
                <c:formatCode>General</c:formatCode>
                <c:ptCount val="7"/>
                <c:pt idx="0">
                  <c:v>12</c:v>
                </c:pt>
                <c:pt idx="1">
                  <c:v>10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8</c:v>
                </c:pt>
                <c:pt idx="6">
                  <c:v>10</c:v>
                </c:pt>
              </c:numCache>
            </c:numRef>
          </c:val>
        </c:ser>
        <c:gapWidth val="150"/>
        <c:overlap val="100"/>
        <c:axId val="55408875"/>
        <c:axId val="56804556"/>
      </c:barChart>
      <c:catAx>
        <c:axId val="554088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804556"/>
        <c:crosses val="autoZero"/>
        <c:auto val="1"/>
        <c:lblAlgn val="ctr"/>
        <c:lblOffset val="100"/>
        <c:noMultiLvlLbl val="0"/>
      </c:catAx>
      <c:valAx>
        <c:axId val="5680455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088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130680</xdr:rowOff>
    </xdr:from>
    <xdr:to>
      <xdr:col>4</xdr:col>
      <xdr:colOff>747000</xdr:colOff>
      <xdr:row>27</xdr:row>
      <xdr:rowOff>163080</xdr:rowOff>
    </xdr:to>
    <xdr:graphicFrame>
      <xdr:nvGraphicFramePr>
        <xdr:cNvPr id="0" name="Chart 1"/>
        <xdr:cNvGraphicFramePr/>
      </xdr:nvGraphicFramePr>
      <xdr:xfrm>
        <a:off x="211320" y="266436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pageSetUpPr fitToPage="true"/>
  </sheetPr>
  <dimension ref="B3:G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55"/>
    <col collapsed="false" customWidth="true" hidden="false" outlineLevel="0" max="5" min="5" style="1" width="18"/>
    <col collapsed="false" customWidth="true" hidden="false" outlineLevel="0" max="9" min="6" style="1" width="14"/>
  </cols>
  <sheetData>
    <row r="3" customFormat="false" ht="27.75" hidden="false" customHeight="true" outlineLevel="0" collapsed="false">
      <c r="B3" s="2" t="s">
        <v>0</v>
      </c>
      <c r="C3" s="2"/>
      <c r="D3" s="2"/>
      <c r="E3" s="2"/>
      <c r="F3" s="2"/>
      <c r="G3" s="2"/>
    </row>
    <row r="4" customFormat="false" ht="19.5" hidden="false" customHeight="true" outlineLevel="0" collapsed="false">
      <c r="B4" s="3" t="s">
        <v>1</v>
      </c>
      <c r="C4" s="3"/>
      <c r="D4" s="3"/>
      <c r="E4" s="3"/>
      <c r="F4" s="3"/>
      <c r="G4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</row>
    <row r="7" customFormat="false" ht="15" hidden="false" customHeight="true" outlineLevel="0" collapsed="false">
      <c r="B7" s="5" t="s">
        <v>3</v>
      </c>
      <c r="C7" s="5"/>
    </row>
    <row r="10" customFormat="false" ht="15" hidden="false" customHeight="true" outlineLevel="0" collapsed="false">
      <c r="B10" s="6" t="s">
        <v>4</v>
      </c>
      <c r="C10" s="6"/>
      <c r="D10" s="6"/>
    </row>
    <row r="11" customFormat="false" ht="19.5" hidden="false" customHeight="true" outlineLevel="0" collapsed="false">
      <c r="B11" s="7" t="s">
        <v>5</v>
      </c>
      <c r="C11" s="8" t="s">
        <v>6</v>
      </c>
      <c r="D11" s="8"/>
    </row>
    <row r="12" customFormat="false" ht="19.5" hidden="false" customHeight="true" outlineLevel="0" collapsed="false">
      <c r="B12" s="9" t="s">
        <v>7</v>
      </c>
      <c r="C12" s="8" t="s">
        <v>8</v>
      </c>
      <c r="D12" s="8"/>
    </row>
    <row r="13" customFormat="false" ht="31.5" hidden="false" customHeight="true" outlineLevel="0" collapsed="false">
      <c r="B13" s="7" t="s">
        <v>9</v>
      </c>
      <c r="C13" s="8" t="s">
        <v>10</v>
      </c>
      <c r="D13" s="8"/>
    </row>
    <row r="14" customFormat="false" ht="31.5" hidden="false" customHeight="true" outlineLevel="0" collapsed="false">
      <c r="B14" s="9" t="s">
        <v>11</v>
      </c>
      <c r="C14" s="8" t="s">
        <v>12</v>
      </c>
      <c r="D14" s="8"/>
    </row>
    <row r="15" customFormat="false" ht="19.5" hidden="false" customHeight="true" outlineLevel="0" collapsed="false">
      <c r="B15" s="7" t="s">
        <v>13</v>
      </c>
      <c r="C15" s="8" t="s">
        <v>14</v>
      </c>
      <c r="D15" s="8"/>
    </row>
    <row r="16" customFormat="false" ht="19.5" hidden="false" customHeight="true" outlineLevel="0" collapsed="false">
      <c r="B16" s="9" t="s">
        <v>15</v>
      </c>
      <c r="C16" s="8" t="s">
        <v>16</v>
      </c>
      <c r="D16" s="8"/>
    </row>
    <row r="17" customFormat="false" ht="19.5" hidden="false" customHeight="true" outlineLevel="0" collapsed="false">
      <c r="B17" s="7" t="s">
        <v>17</v>
      </c>
      <c r="C17" s="8" t="s">
        <v>18</v>
      </c>
      <c r="D17" s="8"/>
    </row>
    <row r="18" customFormat="false" ht="19.5" hidden="false" customHeight="true" outlineLevel="0" collapsed="false">
      <c r="B18" s="9" t="s">
        <v>19</v>
      </c>
      <c r="C18" s="8" t="s">
        <v>20</v>
      </c>
      <c r="D18" s="8"/>
    </row>
    <row r="19" customFormat="false" ht="19.5" hidden="false" customHeight="true" outlineLevel="0" collapsed="false">
      <c r="B19" s="7" t="s">
        <v>21</v>
      </c>
      <c r="C19" s="8" t="s">
        <v>22</v>
      </c>
      <c r="D19" s="8"/>
    </row>
    <row r="20" customFormat="false" ht="19.5" hidden="false" customHeight="true" outlineLevel="0" collapsed="false">
      <c r="B20" s="9" t="s">
        <v>23</v>
      </c>
      <c r="C20" s="8" t="s">
        <v>24</v>
      </c>
      <c r="D20" s="8"/>
    </row>
    <row r="21" customFormat="false" ht="19.5" hidden="false" customHeight="true" outlineLevel="0" collapsed="false">
      <c r="B21" s="7" t="s">
        <v>25</v>
      </c>
      <c r="C21" s="8" t="s">
        <v>26</v>
      </c>
      <c r="D21" s="8"/>
    </row>
    <row r="22" customFormat="false" ht="19.5" hidden="false" customHeight="true" outlineLevel="0" collapsed="false">
      <c r="B22" s="9" t="s">
        <v>27</v>
      </c>
      <c r="C22" s="8" t="s">
        <v>28</v>
      </c>
      <c r="D22" s="8"/>
    </row>
    <row r="23" customFormat="false" ht="19.5" hidden="false" customHeight="true" outlineLevel="0" collapsed="false">
      <c r="B23" s="7" t="s">
        <v>29</v>
      </c>
      <c r="C23" s="8" t="s">
        <v>30</v>
      </c>
      <c r="D23" s="8"/>
    </row>
    <row r="26" customFormat="false" ht="15" hidden="false" customHeight="true" outlineLevel="0" collapsed="false">
      <c r="B26" s="10" t="s">
        <v>31</v>
      </c>
      <c r="C26" s="10"/>
      <c r="D26" s="10"/>
    </row>
    <row r="27" customFormat="false" ht="27.75" hidden="false" customHeight="true" outlineLevel="0" collapsed="false">
      <c r="B27" s="11" t="s">
        <v>32</v>
      </c>
      <c r="C27" s="8" t="s">
        <v>33</v>
      </c>
      <c r="D27" s="8"/>
    </row>
    <row r="28" customFormat="false" ht="27.75" hidden="false" customHeight="true" outlineLevel="0" collapsed="false">
      <c r="B28" s="11" t="s">
        <v>34</v>
      </c>
      <c r="C28" s="8" t="s">
        <v>35</v>
      </c>
      <c r="D28" s="8"/>
    </row>
    <row r="29" customFormat="false" ht="27.75" hidden="false" customHeight="true" outlineLevel="0" collapsed="false">
      <c r="B29" s="11" t="s">
        <v>36</v>
      </c>
      <c r="C29" s="8" t="s">
        <v>37</v>
      </c>
      <c r="D29" s="8"/>
    </row>
    <row r="30" customFormat="false" ht="27.75" hidden="false" customHeight="true" outlineLevel="0" collapsed="false">
      <c r="B30" s="11" t="s">
        <v>38</v>
      </c>
      <c r="C30" s="8" t="s">
        <v>39</v>
      </c>
      <c r="D30" s="8"/>
    </row>
    <row r="31" customFormat="false" ht="27.75" hidden="false" customHeight="true" outlineLevel="0" collapsed="false">
      <c r="B31" s="11" t="s">
        <v>40</v>
      </c>
      <c r="C31" s="8" t="s">
        <v>41</v>
      </c>
      <c r="D31" s="8"/>
    </row>
    <row r="32" customFormat="false" ht="27.75" hidden="false" customHeight="true" outlineLevel="0" collapsed="false">
      <c r="B32" s="11" t="s">
        <v>42</v>
      </c>
      <c r="C32" s="8" t="s">
        <v>43</v>
      </c>
      <c r="D32" s="8"/>
    </row>
    <row r="33" customFormat="false" ht="27.75" hidden="false" customHeight="true" outlineLevel="0" collapsed="false">
      <c r="B33" s="11" t="s">
        <v>44</v>
      </c>
      <c r="C33" s="8" t="s">
        <v>45</v>
      </c>
      <c r="D33" s="8"/>
    </row>
    <row r="36" customFormat="false" ht="15" hidden="false" customHeight="true" outlineLevel="0" collapsed="false">
      <c r="B36" s="6" t="s">
        <v>46</v>
      </c>
      <c r="C36" s="6"/>
      <c r="D36" s="6"/>
    </row>
    <row r="37" customFormat="false" ht="15" hidden="false" customHeight="true" outlineLevel="0" collapsed="false">
      <c r="B37" s="12" t="s">
        <v>47</v>
      </c>
      <c r="C37" s="13" t="s">
        <v>48</v>
      </c>
      <c r="D37" s="13"/>
    </row>
    <row r="38" customFormat="false" ht="15" hidden="false" customHeight="true" outlineLevel="0" collapsed="false">
      <c r="B38" s="14" t="s">
        <v>49</v>
      </c>
      <c r="C38" s="13" t="s">
        <v>50</v>
      </c>
      <c r="D38" s="13"/>
    </row>
    <row r="39" customFormat="false" ht="15" hidden="false" customHeight="true" outlineLevel="0" collapsed="false">
      <c r="B39" s="15" t="s">
        <v>51</v>
      </c>
      <c r="C39" s="13" t="s">
        <v>52</v>
      </c>
      <c r="D39" s="13"/>
    </row>
    <row r="40" customFormat="false" ht="15" hidden="false" customHeight="true" outlineLevel="0" collapsed="false">
      <c r="B40" s="16" t="s">
        <v>53</v>
      </c>
      <c r="C40" s="13" t="s">
        <v>54</v>
      </c>
      <c r="D40" s="13"/>
    </row>
    <row r="42" customFormat="false" ht="15" hidden="false" customHeight="true" outlineLevel="0" collapsed="false">
      <c r="B42" s="17" t="s">
        <v>55</v>
      </c>
      <c r="C42" s="17"/>
      <c r="D42" s="17"/>
    </row>
  </sheetData>
  <mergeCells count="32">
    <mergeCell ref="B3:G3"/>
    <mergeCell ref="B4:G4"/>
    <mergeCell ref="B5:G5"/>
    <mergeCell ref="B7:C7"/>
    <mergeCell ref="B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B26:D26"/>
    <mergeCell ref="C27:D27"/>
    <mergeCell ref="C28:D28"/>
    <mergeCell ref="C29:D29"/>
    <mergeCell ref="C30:D30"/>
    <mergeCell ref="C31:D31"/>
    <mergeCell ref="C32:D32"/>
    <mergeCell ref="C33:D33"/>
    <mergeCell ref="B36:D36"/>
    <mergeCell ref="C37:D37"/>
    <mergeCell ref="C38:D38"/>
    <mergeCell ref="C39:D39"/>
    <mergeCell ref="C40:D40"/>
    <mergeCell ref="B42:D4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&amp;LCSS-UAT-2026-001 v1.0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6F7F"/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28"/>
  </cols>
  <sheetData>
    <row r="2" customFormat="false" ht="19.5" hidden="false" customHeight="true" outlineLevel="0" collapsed="false">
      <c r="B2" s="3" t="s">
        <v>56</v>
      </c>
      <c r="C2" s="3"/>
      <c r="D2" s="3"/>
      <c r="E2" s="3"/>
      <c r="F2" s="3"/>
    </row>
    <row r="3" customFormat="false" ht="31.5" hidden="false" customHeight="true" outlineLevel="0" collapsed="false">
      <c r="B3" s="18" t="s">
        <v>57</v>
      </c>
      <c r="C3" s="18"/>
      <c r="D3" s="18"/>
      <c r="E3" s="18"/>
      <c r="F3" s="18"/>
    </row>
    <row r="5" customFormat="false" ht="15" hidden="false" customHeight="true" outlineLevel="0" collapsed="false">
      <c r="B5" s="11" t="s">
        <v>58</v>
      </c>
    </row>
    <row r="6" customFormat="false" ht="15" hidden="false" customHeight="true" outlineLevel="0" collapsed="false">
      <c r="B6" s="13" t="s">
        <v>59</v>
      </c>
      <c r="C6" s="13"/>
      <c r="D6" s="13"/>
      <c r="E6" s="13"/>
      <c r="F6" s="13"/>
    </row>
    <row r="7" customFormat="false" ht="15" hidden="false" customHeight="true" outlineLevel="0" collapsed="false">
      <c r="B7" s="13" t="s">
        <v>60</v>
      </c>
      <c r="C7" s="13"/>
      <c r="D7" s="13"/>
      <c r="E7" s="13"/>
      <c r="F7" s="13"/>
    </row>
    <row r="8" customFormat="false" ht="15" hidden="false" customHeight="true" outlineLevel="0" collapsed="false">
      <c r="B8" s="13" t="s">
        <v>61</v>
      </c>
      <c r="C8" s="13"/>
      <c r="D8" s="13"/>
      <c r="E8" s="13"/>
      <c r="F8" s="13"/>
    </row>
    <row r="9" customFormat="false" ht="15" hidden="false" customHeight="true" outlineLevel="0" collapsed="false">
      <c r="B9" s="13" t="s">
        <v>62</v>
      </c>
      <c r="C9" s="13"/>
      <c r="D9" s="13"/>
      <c r="E9" s="13"/>
      <c r="F9" s="13"/>
    </row>
    <row r="10" customFormat="false" ht="15" hidden="false" customHeight="true" outlineLevel="0" collapsed="false">
      <c r="B10" s="13" t="s">
        <v>63</v>
      </c>
      <c r="C10" s="13"/>
      <c r="D10" s="13"/>
      <c r="E10" s="13"/>
      <c r="F10" s="13"/>
    </row>
    <row r="12" customFormat="false" ht="15" hidden="false" customHeight="true" outlineLevel="0" collapsed="false">
      <c r="B12" s="11" t="s">
        <v>64</v>
      </c>
    </row>
    <row r="13" customFormat="false" ht="15" hidden="false" customHeight="true" outlineLevel="0" collapsed="false">
      <c r="B13" s="19" t="s">
        <v>65</v>
      </c>
      <c r="C13" s="19" t="s">
        <v>66</v>
      </c>
      <c r="D13" s="19" t="s">
        <v>67</v>
      </c>
      <c r="E13" s="19" t="s">
        <v>68</v>
      </c>
      <c r="F13" s="19" t="s">
        <v>69</v>
      </c>
      <c r="G13" s="19" t="s">
        <v>70</v>
      </c>
    </row>
    <row r="14" customFormat="false" ht="27.75" hidden="false" customHeight="true" outlineLevel="0" collapsed="false">
      <c r="B14" s="20" t="s">
        <v>71</v>
      </c>
      <c r="C14" s="21"/>
      <c r="D14" s="21"/>
      <c r="E14" s="21"/>
      <c r="F14" s="21"/>
      <c r="G14" s="21"/>
    </row>
    <row r="15" customFormat="false" ht="27.75" hidden="false" customHeight="true" outlineLevel="0" collapsed="false">
      <c r="B15" s="20" t="s">
        <v>72</v>
      </c>
      <c r="C15" s="21"/>
      <c r="D15" s="21"/>
      <c r="E15" s="21"/>
      <c r="F15" s="21"/>
      <c r="G15" s="21"/>
    </row>
    <row r="16" customFormat="false" ht="27.75" hidden="false" customHeight="true" outlineLevel="0" collapsed="false">
      <c r="B16" s="20" t="s">
        <v>73</v>
      </c>
      <c r="C16" s="21"/>
      <c r="D16" s="21"/>
      <c r="E16" s="21"/>
      <c r="F16" s="21"/>
      <c r="G16" s="21"/>
    </row>
    <row r="17" customFormat="false" ht="27.75" hidden="false" customHeight="true" outlineLevel="0" collapsed="false">
      <c r="B17" s="20" t="s">
        <v>74</v>
      </c>
      <c r="C17" s="21"/>
      <c r="D17" s="21"/>
      <c r="E17" s="21"/>
      <c r="F17" s="21"/>
      <c r="G17" s="21"/>
    </row>
    <row r="18" customFormat="false" ht="27.75" hidden="false" customHeight="true" outlineLevel="0" collapsed="false">
      <c r="B18" s="20" t="s">
        <v>75</v>
      </c>
      <c r="C18" s="21"/>
      <c r="D18" s="21"/>
      <c r="E18" s="21"/>
      <c r="F18" s="21"/>
      <c r="G18" s="21"/>
    </row>
    <row r="20" customFormat="false" ht="15" hidden="false" customHeight="true" outlineLevel="0" collapsed="false">
      <c r="B20" s="1" t="s">
        <v>76</v>
      </c>
      <c r="C20" s="22" t="str">
        <f aca="false">IF(COUNTA(D14:D18)=0,"",COUNTIF(D14:D18,"Y")/COUNTA(D14:D18))</f>
        <v/>
      </c>
    </row>
    <row r="21" customFormat="false" ht="15" hidden="false" customHeight="true" outlineLevel="0" collapsed="false">
      <c r="B21" s="1" t="s">
        <v>77</v>
      </c>
      <c r="C21" s="23" t="str">
        <f aca="false">IF(COUNT(F14:F18)=0,"",AVERAGE(F14:F18))</f>
        <v/>
      </c>
    </row>
    <row r="22" customFormat="false" ht="15" hidden="false" customHeight="true" outlineLevel="0" collapsed="false">
      <c r="B22" s="1" t="s">
        <v>78</v>
      </c>
      <c r="C22" s="1" t="n">
        <f aca="false">Dashboard!D13</f>
        <v>0</v>
      </c>
    </row>
    <row r="24" customFormat="false" ht="15" hidden="false" customHeight="true" outlineLevel="0" collapsed="false">
      <c r="B24" s="11" t="s">
        <v>79</v>
      </c>
    </row>
    <row r="25" customFormat="false" ht="15" hidden="false" customHeight="true" outlineLevel="0" collapsed="false">
      <c r="B25" s="24" t="s">
        <v>80</v>
      </c>
      <c r="C25" s="24" t="s">
        <v>81</v>
      </c>
      <c r="D25" s="24" t="s">
        <v>82</v>
      </c>
      <c r="E25" s="24" t="s">
        <v>83</v>
      </c>
    </row>
    <row r="26" customFormat="false" ht="15" hidden="false" customHeight="true" outlineLevel="0" collapsed="false">
      <c r="B26" s="25"/>
      <c r="C26" s="25" t="s">
        <v>84</v>
      </c>
      <c r="D26" s="25" t="s">
        <v>85</v>
      </c>
      <c r="E26" s="25"/>
    </row>
    <row r="27" customFormat="false" ht="15" hidden="false" customHeight="true" outlineLevel="0" collapsed="false">
      <c r="B27" s="25"/>
      <c r="C27" s="25" t="s">
        <v>86</v>
      </c>
      <c r="D27" s="25" t="s">
        <v>85</v>
      </c>
      <c r="E27" s="25"/>
    </row>
    <row r="28" customFormat="false" ht="15" hidden="false" customHeight="true" outlineLevel="0" collapsed="false">
      <c r="B28" s="25"/>
      <c r="C28" s="25" t="s">
        <v>87</v>
      </c>
      <c r="D28" s="25" t="s">
        <v>88</v>
      </c>
      <c r="E28" s="25"/>
    </row>
    <row r="29" customFormat="false" ht="15" hidden="false" customHeight="true" outlineLevel="0" collapsed="false">
      <c r="B29" s="25"/>
      <c r="C29" s="25" t="s">
        <v>89</v>
      </c>
      <c r="D29" s="25" t="s">
        <v>90</v>
      </c>
      <c r="E29" s="25"/>
    </row>
    <row r="30" customFormat="false" ht="15" hidden="false" customHeight="true" outlineLevel="0" collapsed="false">
      <c r="B30" s="25"/>
      <c r="C30" s="25" t="s">
        <v>91</v>
      </c>
      <c r="D30" s="25" t="s">
        <v>88</v>
      </c>
      <c r="E30" s="25" t="s">
        <v>92</v>
      </c>
    </row>
    <row r="33" customFormat="false" ht="15" hidden="false" customHeight="true" outlineLevel="0" collapsed="false">
      <c r="B33" s="11" t="s">
        <v>93</v>
      </c>
    </row>
    <row r="34" customFormat="false" ht="15" hidden="false" customHeight="true" outlineLevel="0" collapsed="false">
      <c r="B34" s="1" t="s">
        <v>94</v>
      </c>
      <c r="C34" s="21"/>
    </row>
    <row r="35" customFormat="false" ht="15" hidden="false" customHeight="true" outlineLevel="0" collapsed="false">
      <c r="B35" s="1" t="s">
        <v>95</v>
      </c>
      <c r="C35" s="26"/>
      <c r="D35" s="26"/>
      <c r="E35" s="26"/>
      <c r="F35" s="26"/>
    </row>
    <row r="36" customFormat="false" ht="15" hidden="false" customHeight="true" outlineLevel="0" collapsed="false">
      <c r="C36" s="26"/>
      <c r="D36" s="26"/>
      <c r="E36" s="26"/>
      <c r="F36" s="26"/>
    </row>
    <row r="37" customFormat="false" ht="15" hidden="false" customHeight="true" outlineLevel="0" collapsed="false">
      <c r="C37" s="26"/>
      <c r="D37" s="26"/>
      <c r="E37" s="26"/>
      <c r="F37" s="26"/>
    </row>
  </sheetData>
  <mergeCells count="8">
    <mergeCell ref="B2:F2"/>
    <mergeCell ref="B3:F3"/>
    <mergeCell ref="B6:F6"/>
    <mergeCell ref="B7:F7"/>
    <mergeCell ref="B8:F8"/>
    <mergeCell ref="B9:F9"/>
    <mergeCell ref="B10:F10"/>
    <mergeCell ref="C35:F37"/>
  </mergeCells>
  <dataValidations count="3">
    <dataValidation allowBlank="true" errorStyle="stop" operator="between" showDropDown="false" showErrorMessage="false" showInputMessage="false" sqref="D14:D18" type="list">
      <formula1>"Y,N"</formula1>
      <formula2>0</formula2>
    </dataValidation>
    <dataValidation allowBlank="true" errorStyle="stop" operator="between" showDropDown="false" showErrorMessage="false" showInputMessage="false" sqref="F14:F18" type="list">
      <formula1>"1,2,3,4,5"</formula1>
      <formula2>0</formula2>
    </dataValidation>
    <dataValidation allowBlank="true" errorStyle="stop" operator="between" showDropDown="false" showErrorMessage="false" showInputMessage="false" sqref="C34" type="list">
      <formula1>"Accepted,Accepted with reservations,Rejected"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pageSetUpPr fitToPage="false"/>
  </sheetPr>
  <dimension ref="B2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8" min="7" style="1" width="12"/>
  </cols>
  <sheetData>
    <row r="2" customFormat="false" ht="19.5" hidden="false" customHeight="true" outlineLevel="0" collapsed="false">
      <c r="B2" s="3" t="s">
        <v>96</v>
      </c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B3" s="4" t="s">
        <v>97</v>
      </c>
      <c r="C3" s="4"/>
      <c r="D3" s="4"/>
      <c r="E3" s="4"/>
      <c r="F3" s="4"/>
      <c r="G3" s="4"/>
      <c r="H3" s="4"/>
    </row>
    <row r="5" customFormat="false" ht="15" hidden="false" customHeight="true" outlineLevel="0" collapsed="false">
      <c r="B5" s="19" t="s">
        <v>98</v>
      </c>
      <c r="C5" s="19" t="s">
        <v>47</v>
      </c>
      <c r="D5" s="19" t="s">
        <v>49</v>
      </c>
      <c r="E5" s="19" t="s">
        <v>51</v>
      </c>
      <c r="F5" s="19" t="s">
        <v>53</v>
      </c>
      <c r="G5" s="19" t="s">
        <v>99</v>
      </c>
      <c r="H5" s="19" t="s">
        <v>100</v>
      </c>
    </row>
    <row r="6" customFormat="false" ht="15" hidden="false" customHeight="true" outlineLevel="0" collapsed="false">
      <c r="B6" s="27" t="s">
        <v>101</v>
      </c>
      <c r="C6" s="28" t="n">
        <f aca="false">Authentication!D4</f>
        <v>0</v>
      </c>
      <c r="D6" s="28" t="n">
        <f aca="false">Authentication!F4</f>
        <v>0</v>
      </c>
      <c r="E6" s="28" t="n">
        <f aca="false">Authentication!H4</f>
        <v>0</v>
      </c>
      <c r="F6" s="28" t="n">
        <f aca="false">Authentication!J4</f>
        <v>12</v>
      </c>
      <c r="G6" s="28" t="n">
        <f aca="false">Authentication!B4</f>
        <v>12</v>
      </c>
      <c r="H6" s="29" t="n">
        <f aca="false">IF(G6=0,0,C6/G6)</f>
        <v>0</v>
      </c>
    </row>
    <row r="7" customFormat="false" ht="15" hidden="false" customHeight="true" outlineLevel="0" collapsed="false">
      <c r="B7" s="30" t="s">
        <v>102</v>
      </c>
      <c r="C7" s="31" t="n">
        <f aca="false">Catalogue!D4</f>
        <v>0</v>
      </c>
      <c r="D7" s="31" t="n">
        <f aca="false">Catalogue!F4</f>
        <v>0</v>
      </c>
      <c r="E7" s="31" t="n">
        <f aca="false">Catalogue!H4</f>
        <v>0</v>
      </c>
      <c r="F7" s="31" t="n">
        <f aca="false">Catalogue!J4</f>
        <v>10</v>
      </c>
      <c r="G7" s="31" t="n">
        <f aca="false">Catalogue!B4</f>
        <v>10</v>
      </c>
      <c r="H7" s="32" t="n">
        <f aca="false">IF(G7=0,0,C7/G7)</f>
        <v>0</v>
      </c>
    </row>
    <row r="8" customFormat="false" ht="15" hidden="false" customHeight="true" outlineLevel="0" collapsed="false">
      <c r="B8" s="27" t="s">
        <v>103</v>
      </c>
      <c r="C8" s="28" t="n">
        <f aca="false">'Cart &amp; Discount'!D4</f>
        <v>0</v>
      </c>
      <c r="D8" s="28" t="n">
        <f aca="false">'Cart &amp; Discount'!F4</f>
        <v>0</v>
      </c>
      <c r="E8" s="28" t="n">
        <f aca="false">'Cart &amp; Discount'!H4</f>
        <v>0</v>
      </c>
      <c r="F8" s="28" t="n">
        <f aca="false">'Cart &amp; Discount'!J4</f>
        <v>14</v>
      </c>
      <c r="G8" s="28" t="n">
        <f aca="false">'Cart &amp; Discount'!B4</f>
        <v>14</v>
      </c>
      <c r="H8" s="29" t="n">
        <f aca="false">IF(G8=0,0,C8/G8)</f>
        <v>0</v>
      </c>
    </row>
    <row r="9" customFormat="false" ht="15" hidden="false" customHeight="true" outlineLevel="0" collapsed="false">
      <c r="B9" s="30" t="s">
        <v>104</v>
      </c>
      <c r="C9" s="31" t="n">
        <f aca="false">Checkout!D4</f>
        <v>0</v>
      </c>
      <c r="D9" s="31" t="n">
        <f aca="false">Checkout!F4</f>
        <v>0</v>
      </c>
      <c r="E9" s="31" t="n">
        <f aca="false">Checkout!H4</f>
        <v>0</v>
      </c>
      <c r="F9" s="31" t="n">
        <f aca="false">Checkout!J4</f>
        <v>14</v>
      </c>
      <c r="G9" s="31" t="n">
        <f aca="false">Checkout!B4</f>
        <v>14</v>
      </c>
      <c r="H9" s="32" t="n">
        <f aca="false">IF(G9=0,0,C9/G9)</f>
        <v>0</v>
      </c>
    </row>
    <row r="10" customFormat="false" ht="15" hidden="false" customHeight="true" outlineLevel="0" collapsed="false">
      <c r="B10" s="27" t="s">
        <v>105</v>
      </c>
      <c r="C10" s="28" t="n">
        <f aca="false">'Wishlist &amp; Orders'!D4</f>
        <v>0</v>
      </c>
      <c r="D10" s="28" t="n">
        <f aca="false">'Wishlist &amp; Orders'!F4</f>
        <v>0</v>
      </c>
      <c r="E10" s="28" t="n">
        <f aca="false">'Wishlist &amp; Orders'!H4</f>
        <v>0</v>
      </c>
      <c r="F10" s="28" t="n">
        <f aca="false">'Wishlist &amp; Orders'!J4</f>
        <v>14</v>
      </c>
      <c r="G10" s="28" t="n">
        <f aca="false">'Wishlist &amp; Orders'!B4</f>
        <v>14</v>
      </c>
      <c r="H10" s="29" t="n">
        <f aca="false">IF(G10=0,0,C10/G10)</f>
        <v>0</v>
      </c>
    </row>
    <row r="11" customFormat="false" ht="15" hidden="false" customHeight="true" outlineLevel="0" collapsed="false">
      <c r="B11" s="30" t="s">
        <v>106</v>
      </c>
      <c r="C11" s="31" t="n">
        <f aca="false">'Seller &amp; Admin'!D4</f>
        <v>0</v>
      </c>
      <c r="D11" s="31" t="n">
        <f aca="false">'Seller &amp; Admin'!F4</f>
        <v>0</v>
      </c>
      <c r="E11" s="31" t="n">
        <f aca="false">'Seller &amp; Admin'!H4</f>
        <v>0</v>
      </c>
      <c r="F11" s="31" t="n">
        <f aca="false">'Seller &amp; Admin'!J4</f>
        <v>8</v>
      </c>
      <c r="G11" s="31" t="n">
        <f aca="false">'Seller &amp; Admin'!B4</f>
        <v>8</v>
      </c>
      <c r="H11" s="32" t="n">
        <f aca="false">IF(G11=0,0,C11/G11)</f>
        <v>0</v>
      </c>
    </row>
    <row r="12" customFormat="false" ht="15" hidden="false" customHeight="true" outlineLevel="0" collapsed="false">
      <c r="B12" s="27" t="s">
        <v>107</v>
      </c>
      <c r="C12" s="28" t="n">
        <f aca="false">'Non-functional'!D4</f>
        <v>0</v>
      </c>
      <c r="D12" s="28" t="n">
        <f aca="false">'Non-functional'!F4</f>
        <v>0</v>
      </c>
      <c r="E12" s="28" t="n">
        <f aca="false">'Non-functional'!H4</f>
        <v>0</v>
      </c>
      <c r="F12" s="28" t="n">
        <f aca="false">'Non-functional'!J4</f>
        <v>10</v>
      </c>
      <c r="G12" s="28" t="n">
        <f aca="false">'Non-functional'!B4</f>
        <v>10</v>
      </c>
      <c r="H12" s="29" t="n">
        <f aca="false">IF(G12=0,0,C12/G12)</f>
        <v>0</v>
      </c>
    </row>
    <row r="13" customFormat="false" ht="15" hidden="false" customHeight="true" outlineLevel="0" collapsed="false">
      <c r="B13" s="33" t="s">
        <v>108</v>
      </c>
      <c r="C13" s="33" t="n">
        <f aca="false">SUM(C6:C12)</f>
        <v>0</v>
      </c>
      <c r="D13" s="33" t="n">
        <f aca="false">SUM(D6:D12)</f>
        <v>0</v>
      </c>
      <c r="E13" s="33" t="n">
        <f aca="false">SUM(E6:E12)</f>
        <v>0</v>
      </c>
      <c r="F13" s="33" t="n">
        <f aca="false">SUM(F6:F12)</f>
        <v>82</v>
      </c>
      <c r="G13" s="33" t="n">
        <f aca="false">SUM(G6:G12)</f>
        <v>82</v>
      </c>
      <c r="H13" s="34" t="n">
        <f aca="false">IF(G13=0,0,C13/G13)</f>
        <v>0</v>
      </c>
    </row>
    <row r="32" customFormat="false" ht="15" hidden="false" customHeight="true" outlineLevel="0" collapsed="false">
      <c r="B32" s="5" t="s">
        <v>109</v>
      </c>
      <c r="C32" s="5"/>
      <c r="D32" s="5"/>
      <c r="E32" s="5"/>
      <c r="F32" s="5"/>
    </row>
    <row r="33" customFormat="false" ht="15" hidden="false" customHeight="true" outlineLevel="0" collapsed="false">
      <c r="B33" s="35" t="s">
        <v>81</v>
      </c>
      <c r="C33" s="35" t="s">
        <v>80</v>
      </c>
      <c r="D33" s="35" t="s">
        <v>110</v>
      </c>
      <c r="E33" s="35" t="s">
        <v>111</v>
      </c>
      <c r="F33" s="35" t="s">
        <v>112</v>
      </c>
    </row>
    <row r="34" customFormat="false" ht="21.75" hidden="false" customHeight="true" outlineLevel="0" collapsed="false">
      <c r="B34" s="25" t="s">
        <v>113</v>
      </c>
      <c r="C34" s="21"/>
      <c r="D34" s="21"/>
      <c r="E34" s="21"/>
      <c r="F34" s="21"/>
    </row>
    <row r="35" customFormat="false" ht="21.75" hidden="false" customHeight="true" outlineLevel="0" collapsed="false">
      <c r="B35" s="25" t="s">
        <v>91</v>
      </c>
      <c r="C35" s="21"/>
      <c r="D35" s="21"/>
      <c r="E35" s="21"/>
      <c r="F35" s="21"/>
    </row>
    <row r="36" customFormat="false" ht="21.75" hidden="false" customHeight="true" outlineLevel="0" collapsed="false">
      <c r="B36" s="25" t="s">
        <v>114</v>
      </c>
      <c r="C36" s="21"/>
      <c r="D36" s="21"/>
      <c r="E36" s="21"/>
      <c r="F36" s="21"/>
    </row>
    <row r="38" customFormat="false" ht="15" hidden="false" customHeight="true" outlineLevel="0" collapsed="false">
      <c r="B38" s="17" t="s">
        <v>115</v>
      </c>
      <c r="C38" s="17"/>
      <c r="D38" s="17"/>
      <c r="E38" s="17"/>
      <c r="F38" s="17"/>
    </row>
  </sheetData>
  <mergeCells count="4">
    <mergeCell ref="B2:H2"/>
    <mergeCell ref="B3:H3"/>
    <mergeCell ref="B32:F32"/>
    <mergeCell ref="B38:F38"/>
  </mergeCells>
  <dataValidations count="1">
    <dataValidation allowBlank="true" errorStyle="stop" operator="between" showDropDown="false" showErrorMessage="false" showInputMessage="false" sqref="D34:D36" type="list">
      <formula1>"Accept,Accept with reservations,Reject"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65D"/>
    <pageSetUpPr fitToPage="true"/>
  </sheetPr>
  <dimension ref="A2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32"/>
    <col collapsed="false" customWidth="true" hidden="false" outlineLevel="0" max="6" min="6" style="1" width="28"/>
    <col collapsed="false" customWidth="true" hidden="false" outlineLevel="0" max="8" min="7" style="1" width="40"/>
    <col collapsed="false" customWidth="true" hidden="false" outlineLevel="0" max="9" min="9" style="1" width="22"/>
    <col collapsed="false" customWidth="true" hidden="false" outlineLevel="0" max="10" min="10" style="1" width="12"/>
    <col collapsed="false" customWidth="true" hidden="false" outlineLevel="0" max="12" min="11" style="1" width="14"/>
    <col collapsed="false" customWidth="true" hidden="false" outlineLevel="0" max="14" min="13" style="1" width="12"/>
    <col collapsed="false" customWidth="true" hidden="false" outlineLevel="0" max="15" min="15" style="1" width="28"/>
  </cols>
  <sheetData>
    <row r="2" customFormat="false" ht="21.75" hidden="false" customHeight="true" outlineLevel="0" collapsed="false">
      <c r="A2" s="3" t="s">
        <v>116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31.5" hidden="false" customHeight="true" outlineLevel="0" collapsed="false">
      <c r="A3" s="18" t="s">
        <v>117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customFormat="false" ht="15" hidden="false" customHeight="true" outlineLevel="0" collapsed="false">
      <c r="A4" s="36" t="s">
        <v>99</v>
      </c>
      <c r="B4" s="36" t="n">
        <f aca="false">COUNTA(B6:B17)</f>
        <v>12</v>
      </c>
      <c r="C4" s="36" t="s">
        <v>47</v>
      </c>
      <c r="D4" s="36" t="n">
        <f aca="false">COUNTIF(K6:K17,"Pass")</f>
        <v>0</v>
      </c>
      <c r="E4" s="36" t="s">
        <v>49</v>
      </c>
      <c r="F4" s="36" t="n">
        <f aca="false">COUNTIF(K6:K17,"Fail")</f>
        <v>0</v>
      </c>
      <c r="G4" s="36" t="s">
        <v>51</v>
      </c>
      <c r="H4" s="36" t="n">
        <f aca="false">COUNTIF(K6:K17,"Blocked")</f>
        <v>0</v>
      </c>
      <c r="I4" s="36" t="s">
        <v>53</v>
      </c>
      <c r="J4" s="36" t="n">
        <f aca="false">COUNTIF(K6:K17,"Not Executed")</f>
        <v>12</v>
      </c>
      <c r="K4" s="36" t="s">
        <v>100</v>
      </c>
      <c r="L4" s="37" t="n">
        <f aca="false">IF(B4=0,0,D4/B4)</f>
        <v>0</v>
      </c>
    </row>
    <row r="5" customFormat="false" ht="27.75" hidden="false" customHeight="true" outlineLevel="0" collapsed="false">
      <c r="A5" s="38" t="s">
        <v>118</v>
      </c>
      <c r="B5" s="38" t="s">
        <v>119</v>
      </c>
      <c r="C5" s="38" t="s">
        <v>98</v>
      </c>
      <c r="D5" s="38" t="s">
        <v>120</v>
      </c>
      <c r="E5" s="38" t="s">
        <v>121</v>
      </c>
      <c r="F5" s="38" t="s">
        <v>122</v>
      </c>
      <c r="G5" s="38" t="s">
        <v>123</v>
      </c>
      <c r="H5" s="38" t="s">
        <v>124</v>
      </c>
      <c r="I5" s="38" t="s">
        <v>125</v>
      </c>
      <c r="J5" s="38" t="s">
        <v>126</v>
      </c>
      <c r="K5" s="38" t="s">
        <v>127</v>
      </c>
      <c r="L5" s="38" t="s">
        <v>128</v>
      </c>
      <c r="M5" s="38" t="s">
        <v>129</v>
      </c>
      <c r="N5" s="38" t="s">
        <v>130</v>
      </c>
      <c r="O5" s="38" t="s">
        <v>131</v>
      </c>
    </row>
    <row r="6" customFormat="false" ht="60" hidden="false" customHeight="true" outlineLevel="0" collapsed="false">
      <c r="A6" s="39" t="n">
        <v>1</v>
      </c>
      <c r="B6" s="39" t="s">
        <v>132</v>
      </c>
      <c r="C6" s="39" t="s">
        <v>101</v>
      </c>
      <c r="D6" s="39" t="s">
        <v>133</v>
      </c>
      <c r="E6" s="39" t="s">
        <v>134</v>
      </c>
      <c r="F6" s="39" t="s">
        <v>135</v>
      </c>
      <c r="G6" s="39" t="s">
        <v>136</v>
      </c>
      <c r="H6" s="39" t="s">
        <v>137</v>
      </c>
      <c r="I6" s="39"/>
      <c r="J6" s="39" t="s">
        <v>138</v>
      </c>
      <c r="K6" s="39" t="s">
        <v>53</v>
      </c>
      <c r="L6" s="39"/>
      <c r="M6" s="39"/>
      <c r="N6" s="39"/>
      <c r="O6" s="39" t="s">
        <v>139</v>
      </c>
    </row>
    <row r="7" customFormat="false" ht="60" hidden="false" customHeight="true" outlineLevel="0" collapsed="false">
      <c r="A7" s="40" t="n">
        <v>2</v>
      </c>
      <c r="B7" s="40" t="s">
        <v>140</v>
      </c>
      <c r="C7" s="40" t="s">
        <v>101</v>
      </c>
      <c r="D7" s="40" t="s">
        <v>141</v>
      </c>
      <c r="E7" s="40" t="s">
        <v>142</v>
      </c>
      <c r="F7" s="40" t="s">
        <v>143</v>
      </c>
      <c r="G7" s="40" t="s">
        <v>144</v>
      </c>
      <c r="H7" s="40" t="s">
        <v>145</v>
      </c>
      <c r="I7" s="40"/>
      <c r="J7" s="40" t="s">
        <v>138</v>
      </c>
      <c r="K7" s="40" t="s">
        <v>53</v>
      </c>
      <c r="L7" s="40"/>
      <c r="M7" s="40"/>
      <c r="N7" s="40"/>
      <c r="O7" s="40" t="s">
        <v>146</v>
      </c>
    </row>
    <row r="8" customFormat="false" ht="60" hidden="false" customHeight="true" outlineLevel="0" collapsed="false">
      <c r="A8" s="39" t="n">
        <v>3</v>
      </c>
      <c r="B8" s="39" t="s">
        <v>147</v>
      </c>
      <c r="C8" s="39" t="s">
        <v>101</v>
      </c>
      <c r="D8" s="39" t="s">
        <v>148</v>
      </c>
      <c r="E8" s="39" t="s">
        <v>149</v>
      </c>
      <c r="F8" s="39" t="s">
        <v>150</v>
      </c>
      <c r="G8" s="39" t="s">
        <v>151</v>
      </c>
      <c r="H8" s="39" t="s">
        <v>152</v>
      </c>
      <c r="I8" s="39"/>
      <c r="J8" s="39" t="s">
        <v>138</v>
      </c>
      <c r="K8" s="39" t="s">
        <v>53</v>
      </c>
      <c r="L8" s="39"/>
      <c r="M8" s="39"/>
      <c r="N8" s="39"/>
      <c r="O8" s="39" t="s">
        <v>153</v>
      </c>
    </row>
    <row r="9" customFormat="false" ht="48" hidden="false" customHeight="true" outlineLevel="0" collapsed="false">
      <c r="A9" s="40" t="n">
        <v>4</v>
      </c>
      <c r="B9" s="40" t="s">
        <v>154</v>
      </c>
      <c r="C9" s="40" t="s">
        <v>101</v>
      </c>
      <c r="D9" s="40" t="s">
        <v>155</v>
      </c>
      <c r="E9" s="40" t="s">
        <v>156</v>
      </c>
      <c r="F9" s="40" t="s">
        <v>157</v>
      </c>
      <c r="G9" s="40" t="s">
        <v>158</v>
      </c>
      <c r="H9" s="40" t="s">
        <v>159</v>
      </c>
      <c r="I9" s="40"/>
      <c r="J9" s="40" t="s">
        <v>160</v>
      </c>
      <c r="K9" s="40" t="s">
        <v>53</v>
      </c>
      <c r="L9" s="40"/>
      <c r="M9" s="40"/>
      <c r="N9" s="40"/>
      <c r="O9" s="40" t="s">
        <v>161</v>
      </c>
    </row>
    <row r="10" customFormat="false" ht="60" hidden="false" customHeight="true" outlineLevel="0" collapsed="false">
      <c r="A10" s="39" t="n">
        <v>5</v>
      </c>
      <c r="B10" s="39" t="s">
        <v>162</v>
      </c>
      <c r="C10" s="39" t="s">
        <v>101</v>
      </c>
      <c r="D10" s="39" t="s">
        <v>163</v>
      </c>
      <c r="E10" s="39" t="s">
        <v>164</v>
      </c>
      <c r="F10" s="39" t="s">
        <v>165</v>
      </c>
      <c r="G10" s="39" t="s">
        <v>166</v>
      </c>
      <c r="H10" s="39" t="s">
        <v>167</v>
      </c>
      <c r="I10" s="39"/>
      <c r="J10" s="39" t="s">
        <v>138</v>
      </c>
      <c r="K10" s="39" t="s">
        <v>53</v>
      </c>
      <c r="L10" s="39"/>
      <c r="M10" s="39"/>
      <c r="N10" s="39"/>
      <c r="O10" s="39" t="s">
        <v>168</v>
      </c>
    </row>
    <row r="11" customFormat="false" ht="48" hidden="false" customHeight="true" outlineLevel="0" collapsed="false">
      <c r="A11" s="40" t="n">
        <v>6</v>
      </c>
      <c r="B11" s="40" t="s">
        <v>169</v>
      </c>
      <c r="C11" s="40" t="s">
        <v>101</v>
      </c>
      <c r="D11" s="40" t="s">
        <v>170</v>
      </c>
      <c r="E11" s="40" t="s">
        <v>171</v>
      </c>
      <c r="F11" s="40" t="s">
        <v>172</v>
      </c>
      <c r="G11" s="40" t="s">
        <v>173</v>
      </c>
      <c r="H11" s="40" t="s">
        <v>174</v>
      </c>
      <c r="I11" s="40"/>
      <c r="J11" s="40" t="s">
        <v>160</v>
      </c>
      <c r="K11" s="40" t="s">
        <v>53</v>
      </c>
      <c r="L11" s="40"/>
      <c r="M11" s="40"/>
      <c r="N11" s="40"/>
      <c r="O11" s="40" t="s">
        <v>175</v>
      </c>
    </row>
    <row r="12" customFormat="false" ht="48" hidden="false" customHeight="true" outlineLevel="0" collapsed="false">
      <c r="A12" s="39" t="n">
        <v>7</v>
      </c>
      <c r="B12" s="39" t="s">
        <v>176</v>
      </c>
      <c r="C12" s="39" t="s">
        <v>101</v>
      </c>
      <c r="D12" s="39" t="s">
        <v>177</v>
      </c>
      <c r="E12" s="39" t="s">
        <v>178</v>
      </c>
      <c r="F12" s="39" t="s">
        <v>179</v>
      </c>
      <c r="G12" s="39" t="s">
        <v>180</v>
      </c>
      <c r="H12" s="39" t="s">
        <v>181</v>
      </c>
      <c r="I12" s="39"/>
      <c r="J12" s="39" t="s">
        <v>182</v>
      </c>
      <c r="K12" s="39" t="s">
        <v>53</v>
      </c>
      <c r="L12" s="39"/>
      <c r="M12" s="39"/>
      <c r="N12" s="39"/>
      <c r="O12" s="39" t="s">
        <v>183</v>
      </c>
    </row>
    <row r="13" customFormat="false" ht="48" hidden="false" customHeight="true" outlineLevel="0" collapsed="false">
      <c r="A13" s="40" t="n">
        <v>8</v>
      </c>
      <c r="B13" s="40" t="s">
        <v>184</v>
      </c>
      <c r="C13" s="40" t="s">
        <v>101</v>
      </c>
      <c r="D13" s="40" t="s">
        <v>185</v>
      </c>
      <c r="E13" s="40" t="s">
        <v>186</v>
      </c>
      <c r="F13" s="40" t="s">
        <v>187</v>
      </c>
      <c r="G13" s="40" t="s">
        <v>188</v>
      </c>
      <c r="H13" s="40" t="s">
        <v>189</v>
      </c>
      <c r="I13" s="40"/>
      <c r="J13" s="40" t="s">
        <v>160</v>
      </c>
      <c r="K13" s="40" t="s">
        <v>53</v>
      </c>
      <c r="L13" s="40"/>
      <c r="M13" s="40"/>
      <c r="N13" s="40"/>
      <c r="O13" s="40" t="s">
        <v>190</v>
      </c>
    </row>
    <row r="14" customFormat="false" ht="48" hidden="false" customHeight="true" outlineLevel="0" collapsed="false">
      <c r="A14" s="39" t="n">
        <v>9</v>
      </c>
      <c r="B14" s="39" t="s">
        <v>191</v>
      </c>
      <c r="C14" s="39" t="s">
        <v>101</v>
      </c>
      <c r="D14" s="39" t="s">
        <v>185</v>
      </c>
      <c r="E14" s="39" t="s">
        <v>192</v>
      </c>
      <c r="F14" s="39" t="s">
        <v>193</v>
      </c>
      <c r="G14" s="39" t="s">
        <v>194</v>
      </c>
      <c r="H14" s="39" t="s">
        <v>195</v>
      </c>
      <c r="I14" s="39"/>
      <c r="J14" s="39" t="s">
        <v>160</v>
      </c>
      <c r="K14" s="39" t="s">
        <v>53</v>
      </c>
      <c r="L14" s="39"/>
      <c r="M14" s="39"/>
      <c r="N14" s="39"/>
      <c r="O14" s="39" t="s">
        <v>196</v>
      </c>
    </row>
    <row r="15" customFormat="false" ht="48" hidden="false" customHeight="true" outlineLevel="0" collapsed="false">
      <c r="A15" s="40" t="n">
        <v>10</v>
      </c>
      <c r="B15" s="40" t="s">
        <v>197</v>
      </c>
      <c r="C15" s="40" t="s">
        <v>101</v>
      </c>
      <c r="D15" s="40" t="s">
        <v>198</v>
      </c>
      <c r="E15" s="40" t="s">
        <v>199</v>
      </c>
      <c r="F15" s="40" t="s">
        <v>200</v>
      </c>
      <c r="G15" s="40" t="s">
        <v>201</v>
      </c>
      <c r="H15" s="40" t="s">
        <v>202</v>
      </c>
      <c r="I15" s="40"/>
      <c r="J15" s="40" t="s">
        <v>160</v>
      </c>
      <c r="K15" s="40" t="s">
        <v>53</v>
      </c>
      <c r="L15" s="40"/>
      <c r="M15" s="40"/>
      <c r="N15" s="40"/>
      <c r="O15" s="40" t="s">
        <v>203</v>
      </c>
    </row>
    <row r="16" customFormat="false" ht="48" hidden="false" customHeight="true" outlineLevel="0" collapsed="false">
      <c r="A16" s="39" t="n">
        <v>11</v>
      </c>
      <c r="B16" s="39" t="s">
        <v>204</v>
      </c>
      <c r="C16" s="39" t="s">
        <v>101</v>
      </c>
      <c r="D16" s="39" t="s">
        <v>205</v>
      </c>
      <c r="E16" s="39" t="s">
        <v>206</v>
      </c>
      <c r="F16" s="39" t="s">
        <v>207</v>
      </c>
      <c r="G16" s="39" t="s">
        <v>208</v>
      </c>
      <c r="H16" s="39" t="s">
        <v>209</v>
      </c>
      <c r="I16" s="39"/>
      <c r="J16" s="39" t="s">
        <v>160</v>
      </c>
      <c r="K16" s="39" t="s">
        <v>53</v>
      </c>
      <c r="L16" s="39"/>
      <c r="M16" s="39"/>
      <c r="N16" s="39"/>
      <c r="O16" s="39" t="s">
        <v>210</v>
      </c>
    </row>
    <row r="17" customFormat="false" ht="48" hidden="false" customHeight="true" outlineLevel="0" collapsed="false">
      <c r="A17" s="40" t="n">
        <v>12</v>
      </c>
      <c r="B17" s="40" t="s">
        <v>211</v>
      </c>
      <c r="C17" s="40" t="s">
        <v>101</v>
      </c>
      <c r="D17" s="40" t="s">
        <v>212</v>
      </c>
      <c r="E17" s="40" t="s">
        <v>213</v>
      </c>
      <c r="F17" s="40" t="s">
        <v>214</v>
      </c>
      <c r="G17" s="40" t="s">
        <v>215</v>
      </c>
      <c r="H17" s="40" t="s">
        <v>216</v>
      </c>
      <c r="I17" s="40"/>
      <c r="J17" s="40" t="s">
        <v>182</v>
      </c>
      <c r="K17" s="40" t="s">
        <v>53</v>
      </c>
      <c r="L17" s="40"/>
      <c r="M17" s="40"/>
      <c r="N17" s="40"/>
      <c r="O17" s="40" t="s">
        <v>217</v>
      </c>
    </row>
  </sheetData>
  <autoFilter ref="A5:O17"/>
  <mergeCells count="2">
    <mergeCell ref="A2:O2"/>
    <mergeCell ref="A3:O3"/>
  </mergeCells>
  <dataValidations count="2">
    <dataValidation allowBlank="false" errorStyle="stop" operator="between" showDropDown="false" showErrorMessage="false" showInputMessage="false" sqref="K6:K17" type="list">
      <formula1>"Pass,Fail,Blocked,Not Executed"</formula1>
      <formula2>0</formula2>
    </dataValidation>
    <dataValidation allowBlank="false" errorStyle="stop" operator="between" showDropDown="false" showErrorMessage="false" showInputMessage="false" sqref="J6:J17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&amp;LCloud Sphere UAT  ·  Authentication</oddHeader>
    <oddFooter>&amp;RCSS-UAT-2026-001  ·  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65D"/>
    <pageSetUpPr fitToPage="true"/>
  </sheetPr>
  <dimension ref="A2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32"/>
    <col collapsed="false" customWidth="true" hidden="false" outlineLevel="0" max="6" min="6" style="1" width="28"/>
    <col collapsed="false" customWidth="true" hidden="false" outlineLevel="0" max="8" min="7" style="1" width="40"/>
    <col collapsed="false" customWidth="true" hidden="false" outlineLevel="0" max="9" min="9" style="1" width="22"/>
    <col collapsed="false" customWidth="true" hidden="false" outlineLevel="0" max="10" min="10" style="1" width="12"/>
    <col collapsed="false" customWidth="true" hidden="false" outlineLevel="0" max="12" min="11" style="1" width="14"/>
    <col collapsed="false" customWidth="true" hidden="false" outlineLevel="0" max="14" min="13" style="1" width="12"/>
    <col collapsed="false" customWidth="true" hidden="false" outlineLevel="0" max="15" min="15" style="1" width="28"/>
  </cols>
  <sheetData>
    <row r="2" customFormat="false" ht="21.75" hidden="false" customHeight="true" outlineLevel="0" collapsed="false">
      <c r="A2" s="3" t="s">
        <v>218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31.5" hidden="false" customHeight="true" outlineLevel="0" collapsed="false">
      <c r="A3" s="18" t="s">
        <v>219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customFormat="false" ht="15" hidden="false" customHeight="true" outlineLevel="0" collapsed="false">
      <c r="A4" s="36" t="s">
        <v>99</v>
      </c>
      <c r="B4" s="36" t="n">
        <f aca="false">COUNTA(B6:B15)</f>
        <v>10</v>
      </c>
      <c r="C4" s="36" t="s">
        <v>47</v>
      </c>
      <c r="D4" s="36" t="n">
        <f aca="false">COUNTIF(K6:K15,"Pass")</f>
        <v>0</v>
      </c>
      <c r="E4" s="36" t="s">
        <v>49</v>
      </c>
      <c r="F4" s="36" t="n">
        <f aca="false">COUNTIF(K6:K15,"Fail")</f>
        <v>0</v>
      </c>
      <c r="G4" s="36" t="s">
        <v>51</v>
      </c>
      <c r="H4" s="36" t="n">
        <f aca="false">COUNTIF(K6:K15,"Blocked")</f>
        <v>0</v>
      </c>
      <c r="I4" s="36" t="s">
        <v>53</v>
      </c>
      <c r="J4" s="36" t="n">
        <f aca="false">COUNTIF(K6:K15,"Not Executed")</f>
        <v>10</v>
      </c>
      <c r="K4" s="36" t="s">
        <v>100</v>
      </c>
      <c r="L4" s="37" t="n">
        <f aca="false">IF(B4=0,0,D4/B4)</f>
        <v>0</v>
      </c>
    </row>
    <row r="5" customFormat="false" ht="27.75" hidden="false" customHeight="true" outlineLevel="0" collapsed="false">
      <c r="A5" s="38" t="s">
        <v>118</v>
      </c>
      <c r="B5" s="38" t="s">
        <v>119</v>
      </c>
      <c r="C5" s="38" t="s">
        <v>98</v>
      </c>
      <c r="D5" s="38" t="s">
        <v>120</v>
      </c>
      <c r="E5" s="38" t="s">
        <v>121</v>
      </c>
      <c r="F5" s="38" t="s">
        <v>122</v>
      </c>
      <c r="G5" s="38" t="s">
        <v>123</v>
      </c>
      <c r="H5" s="38" t="s">
        <v>124</v>
      </c>
      <c r="I5" s="38" t="s">
        <v>125</v>
      </c>
      <c r="J5" s="38" t="s">
        <v>126</v>
      </c>
      <c r="K5" s="38" t="s">
        <v>127</v>
      </c>
      <c r="L5" s="38" t="s">
        <v>128</v>
      </c>
      <c r="M5" s="38" t="s">
        <v>129</v>
      </c>
      <c r="N5" s="38" t="s">
        <v>130</v>
      </c>
      <c r="O5" s="38" t="s">
        <v>131</v>
      </c>
    </row>
    <row r="6" customFormat="false" ht="60" hidden="false" customHeight="true" outlineLevel="0" collapsed="false">
      <c r="A6" s="39" t="n">
        <v>1</v>
      </c>
      <c r="B6" s="39" t="s">
        <v>220</v>
      </c>
      <c r="C6" s="39" t="s">
        <v>102</v>
      </c>
      <c r="D6" s="39" t="s">
        <v>221</v>
      </c>
      <c r="E6" s="39" t="s">
        <v>222</v>
      </c>
      <c r="F6" s="39" t="s">
        <v>223</v>
      </c>
      <c r="G6" s="39" t="s">
        <v>224</v>
      </c>
      <c r="H6" s="39" t="s">
        <v>225</v>
      </c>
      <c r="I6" s="39"/>
      <c r="J6" s="39" t="s">
        <v>138</v>
      </c>
      <c r="K6" s="39" t="s">
        <v>53</v>
      </c>
      <c r="L6" s="39"/>
      <c r="M6" s="39"/>
      <c r="N6" s="39"/>
      <c r="O6" s="39" t="s">
        <v>226</v>
      </c>
    </row>
    <row r="7" customFormat="false" ht="48" hidden="false" customHeight="true" outlineLevel="0" collapsed="false">
      <c r="A7" s="40" t="n">
        <v>2</v>
      </c>
      <c r="B7" s="40" t="s">
        <v>227</v>
      </c>
      <c r="C7" s="40" t="s">
        <v>102</v>
      </c>
      <c r="D7" s="40" t="s">
        <v>228</v>
      </c>
      <c r="E7" s="40" t="s">
        <v>229</v>
      </c>
      <c r="F7" s="40" t="s">
        <v>230</v>
      </c>
      <c r="G7" s="40" t="s">
        <v>231</v>
      </c>
      <c r="H7" s="40" t="s">
        <v>232</v>
      </c>
      <c r="I7" s="40"/>
      <c r="J7" s="40" t="s">
        <v>160</v>
      </c>
      <c r="K7" s="40" t="s">
        <v>53</v>
      </c>
      <c r="L7" s="40"/>
      <c r="M7" s="40"/>
      <c r="N7" s="40"/>
      <c r="O7" s="40" t="s">
        <v>233</v>
      </c>
    </row>
    <row r="8" customFormat="false" ht="48" hidden="false" customHeight="true" outlineLevel="0" collapsed="false">
      <c r="A8" s="39" t="n">
        <v>3</v>
      </c>
      <c r="B8" s="39" t="s">
        <v>234</v>
      </c>
      <c r="C8" s="39" t="s">
        <v>102</v>
      </c>
      <c r="D8" s="39" t="s">
        <v>235</v>
      </c>
      <c r="E8" s="39" t="s">
        <v>236</v>
      </c>
      <c r="F8" s="39" t="s">
        <v>237</v>
      </c>
      <c r="G8" s="39" t="s">
        <v>238</v>
      </c>
      <c r="H8" s="39" t="s">
        <v>239</v>
      </c>
      <c r="I8" s="39"/>
      <c r="J8" s="39" t="s">
        <v>160</v>
      </c>
      <c r="K8" s="39" t="s">
        <v>53</v>
      </c>
      <c r="L8" s="39"/>
      <c r="M8" s="39"/>
      <c r="N8" s="39"/>
      <c r="O8" s="39" t="s">
        <v>240</v>
      </c>
    </row>
    <row r="9" customFormat="false" ht="48" hidden="false" customHeight="true" outlineLevel="0" collapsed="false">
      <c r="A9" s="40" t="n">
        <v>4</v>
      </c>
      <c r="B9" s="40" t="s">
        <v>241</v>
      </c>
      <c r="C9" s="40" t="s">
        <v>102</v>
      </c>
      <c r="D9" s="40" t="s">
        <v>235</v>
      </c>
      <c r="E9" s="40" t="s">
        <v>242</v>
      </c>
      <c r="F9" s="40" t="s">
        <v>243</v>
      </c>
      <c r="G9" s="40" t="s">
        <v>244</v>
      </c>
      <c r="H9" s="40" t="s">
        <v>245</v>
      </c>
      <c r="I9" s="40"/>
      <c r="J9" s="40" t="s">
        <v>182</v>
      </c>
      <c r="K9" s="40" t="s">
        <v>53</v>
      </c>
      <c r="L9" s="40"/>
      <c r="M9" s="40"/>
      <c r="N9" s="40"/>
      <c r="O9" s="40" t="s">
        <v>246</v>
      </c>
    </row>
    <row r="10" customFormat="false" ht="48" hidden="false" customHeight="true" outlineLevel="0" collapsed="false">
      <c r="A10" s="39" t="n">
        <v>5</v>
      </c>
      <c r="B10" s="39" t="s">
        <v>247</v>
      </c>
      <c r="C10" s="39" t="s">
        <v>102</v>
      </c>
      <c r="D10" s="39" t="s">
        <v>248</v>
      </c>
      <c r="E10" s="39" t="s">
        <v>249</v>
      </c>
      <c r="F10" s="39" t="s">
        <v>250</v>
      </c>
      <c r="G10" s="39" t="s">
        <v>251</v>
      </c>
      <c r="H10" s="39" t="s">
        <v>252</v>
      </c>
      <c r="I10" s="39"/>
      <c r="J10" s="39" t="s">
        <v>160</v>
      </c>
      <c r="K10" s="39" t="s">
        <v>53</v>
      </c>
      <c r="L10" s="39"/>
      <c r="M10" s="39"/>
      <c r="N10" s="39"/>
      <c r="O10" s="39" t="s">
        <v>253</v>
      </c>
    </row>
    <row r="11" customFormat="false" ht="48" hidden="false" customHeight="true" outlineLevel="0" collapsed="false">
      <c r="A11" s="40" t="n">
        <v>6</v>
      </c>
      <c r="B11" s="40" t="s">
        <v>254</v>
      </c>
      <c r="C11" s="40" t="s">
        <v>102</v>
      </c>
      <c r="D11" s="40" t="s">
        <v>255</v>
      </c>
      <c r="E11" s="40" t="s">
        <v>256</v>
      </c>
      <c r="F11" s="40" t="s">
        <v>257</v>
      </c>
      <c r="G11" s="40" t="s">
        <v>258</v>
      </c>
      <c r="H11" s="40" t="s">
        <v>259</v>
      </c>
      <c r="I11" s="40"/>
      <c r="J11" s="40" t="s">
        <v>160</v>
      </c>
      <c r="K11" s="40" t="s">
        <v>53</v>
      </c>
      <c r="L11" s="40"/>
      <c r="M11" s="40"/>
      <c r="N11" s="40"/>
      <c r="O11" s="40" t="s">
        <v>260</v>
      </c>
    </row>
    <row r="12" customFormat="false" ht="48" hidden="false" customHeight="true" outlineLevel="0" collapsed="false">
      <c r="A12" s="39" t="n">
        <v>7</v>
      </c>
      <c r="B12" s="39" t="s">
        <v>261</v>
      </c>
      <c r="C12" s="39" t="s">
        <v>102</v>
      </c>
      <c r="D12" s="39" t="s">
        <v>255</v>
      </c>
      <c r="E12" s="39" t="s">
        <v>262</v>
      </c>
      <c r="F12" s="39" t="s">
        <v>263</v>
      </c>
      <c r="G12" s="39" t="s">
        <v>264</v>
      </c>
      <c r="H12" s="39" t="s">
        <v>265</v>
      </c>
      <c r="I12" s="39"/>
      <c r="J12" s="39" t="s">
        <v>160</v>
      </c>
      <c r="K12" s="39" t="s">
        <v>53</v>
      </c>
      <c r="L12" s="39"/>
      <c r="M12" s="39"/>
      <c r="N12" s="39"/>
      <c r="O12" s="39" t="s">
        <v>266</v>
      </c>
    </row>
    <row r="13" customFormat="false" ht="48" hidden="false" customHeight="true" outlineLevel="0" collapsed="false">
      <c r="A13" s="40" t="n">
        <v>8</v>
      </c>
      <c r="B13" s="40" t="s">
        <v>267</v>
      </c>
      <c r="C13" s="40" t="s">
        <v>102</v>
      </c>
      <c r="D13" s="40" t="s">
        <v>268</v>
      </c>
      <c r="E13" s="40" t="s">
        <v>269</v>
      </c>
      <c r="F13" s="40" t="s">
        <v>270</v>
      </c>
      <c r="G13" s="40" t="s">
        <v>271</v>
      </c>
      <c r="H13" s="40" t="s">
        <v>272</v>
      </c>
      <c r="I13" s="40"/>
      <c r="J13" s="40" t="s">
        <v>160</v>
      </c>
      <c r="K13" s="40" t="s">
        <v>53</v>
      </c>
      <c r="L13" s="40"/>
      <c r="M13" s="40"/>
      <c r="N13" s="40"/>
      <c r="O13" s="40" t="s">
        <v>273</v>
      </c>
    </row>
    <row r="14" customFormat="false" ht="48" hidden="false" customHeight="true" outlineLevel="0" collapsed="false">
      <c r="A14" s="39" t="n">
        <v>9</v>
      </c>
      <c r="B14" s="39" t="s">
        <v>274</v>
      </c>
      <c r="C14" s="39" t="s">
        <v>102</v>
      </c>
      <c r="D14" s="39" t="s">
        <v>275</v>
      </c>
      <c r="E14" s="39" t="s">
        <v>276</v>
      </c>
      <c r="F14" s="39" t="s">
        <v>277</v>
      </c>
      <c r="G14" s="39" t="s">
        <v>278</v>
      </c>
      <c r="H14" s="39" t="s">
        <v>279</v>
      </c>
      <c r="I14" s="39"/>
      <c r="J14" s="39" t="s">
        <v>160</v>
      </c>
      <c r="K14" s="39" t="s">
        <v>53</v>
      </c>
      <c r="L14" s="39"/>
      <c r="M14" s="39"/>
      <c r="N14" s="39"/>
      <c r="O14" s="39" t="s">
        <v>280</v>
      </c>
    </row>
    <row r="15" customFormat="false" ht="48" hidden="false" customHeight="true" outlineLevel="0" collapsed="false">
      <c r="A15" s="40" t="n">
        <v>10</v>
      </c>
      <c r="B15" s="40" t="s">
        <v>281</v>
      </c>
      <c r="C15" s="40" t="s">
        <v>102</v>
      </c>
      <c r="D15" s="40" t="s">
        <v>282</v>
      </c>
      <c r="E15" s="40" t="s">
        <v>283</v>
      </c>
      <c r="F15" s="40" t="s">
        <v>284</v>
      </c>
      <c r="G15" s="40" t="s">
        <v>285</v>
      </c>
      <c r="H15" s="40" t="s">
        <v>286</v>
      </c>
      <c r="I15" s="40"/>
      <c r="J15" s="40" t="s">
        <v>182</v>
      </c>
      <c r="K15" s="40" t="s">
        <v>53</v>
      </c>
      <c r="L15" s="40"/>
      <c r="M15" s="40"/>
      <c r="N15" s="40"/>
      <c r="O15" s="40" t="s">
        <v>240</v>
      </c>
    </row>
  </sheetData>
  <autoFilter ref="A5:O15"/>
  <mergeCells count="2">
    <mergeCell ref="A2:O2"/>
    <mergeCell ref="A3:O3"/>
  </mergeCells>
  <dataValidations count="2">
    <dataValidation allowBlank="false" errorStyle="stop" operator="between" showDropDown="false" showErrorMessage="false" showInputMessage="false" sqref="K6:K15" type="list">
      <formula1>"Pass,Fail,Blocked,Not Executed"</formula1>
      <formula2>0</formula2>
    </dataValidation>
    <dataValidation allowBlank="false" errorStyle="stop" operator="between" showDropDown="false" showErrorMessage="false" showInputMessage="false" sqref="J6:J15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&amp;LCloud Sphere UAT  ·  Catalogue</oddHeader>
    <oddFooter>&amp;RCSS-UAT-2026-001  ·  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65D"/>
    <pageSetUpPr fitToPage="true"/>
  </sheetPr>
  <dimension ref="A2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32"/>
    <col collapsed="false" customWidth="true" hidden="false" outlineLevel="0" max="6" min="6" style="1" width="28"/>
    <col collapsed="false" customWidth="true" hidden="false" outlineLevel="0" max="8" min="7" style="1" width="40"/>
    <col collapsed="false" customWidth="true" hidden="false" outlineLevel="0" max="9" min="9" style="1" width="22"/>
    <col collapsed="false" customWidth="true" hidden="false" outlineLevel="0" max="10" min="10" style="1" width="12"/>
    <col collapsed="false" customWidth="true" hidden="false" outlineLevel="0" max="12" min="11" style="1" width="14"/>
    <col collapsed="false" customWidth="true" hidden="false" outlineLevel="0" max="14" min="13" style="1" width="12"/>
    <col collapsed="false" customWidth="true" hidden="false" outlineLevel="0" max="15" min="15" style="1" width="28"/>
  </cols>
  <sheetData>
    <row r="2" customFormat="false" ht="21.75" hidden="false" customHeight="true" outlineLevel="0" collapsed="false">
      <c r="A2" s="3" t="s">
        <v>287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31.5" hidden="false" customHeight="true" outlineLevel="0" collapsed="false">
      <c r="A3" s="18" t="s">
        <v>288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customFormat="false" ht="15" hidden="false" customHeight="true" outlineLevel="0" collapsed="false">
      <c r="A4" s="36" t="s">
        <v>99</v>
      </c>
      <c r="B4" s="36" t="n">
        <f aca="false">COUNTA(B6:B19)</f>
        <v>14</v>
      </c>
      <c r="C4" s="36" t="s">
        <v>47</v>
      </c>
      <c r="D4" s="36" t="n">
        <f aca="false">COUNTIF(K6:K19,"Pass")</f>
        <v>0</v>
      </c>
      <c r="E4" s="36" t="s">
        <v>49</v>
      </c>
      <c r="F4" s="36" t="n">
        <f aca="false">COUNTIF(K6:K19,"Fail")</f>
        <v>0</v>
      </c>
      <c r="G4" s="36" t="s">
        <v>51</v>
      </c>
      <c r="H4" s="36" t="n">
        <f aca="false">COUNTIF(K6:K19,"Blocked")</f>
        <v>0</v>
      </c>
      <c r="I4" s="36" t="s">
        <v>53</v>
      </c>
      <c r="J4" s="36" t="n">
        <f aca="false">COUNTIF(K6:K19,"Not Executed")</f>
        <v>14</v>
      </c>
      <c r="K4" s="36" t="s">
        <v>100</v>
      </c>
      <c r="L4" s="37" t="n">
        <f aca="false">IF(B4=0,0,D4/B4)</f>
        <v>0</v>
      </c>
    </row>
    <row r="5" customFormat="false" ht="27.75" hidden="false" customHeight="true" outlineLevel="0" collapsed="false">
      <c r="A5" s="38" t="s">
        <v>118</v>
      </c>
      <c r="B5" s="38" t="s">
        <v>119</v>
      </c>
      <c r="C5" s="38" t="s">
        <v>98</v>
      </c>
      <c r="D5" s="38" t="s">
        <v>120</v>
      </c>
      <c r="E5" s="38" t="s">
        <v>121</v>
      </c>
      <c r="F5" s="38" t="s">
        <v>122</v>
      </c>
      <c r="G5" s="38" t="s">
        <v>123</v>
      </c>
      <c r="H5" s="38" t="s">
        <v>124</v>
      </c>
      <c r="I5" s="38" t="s">
        <v>125</v>
      </c>
      <c r="J5" s="38" t="s">
        <v>126</v>
      </c>
      <c r="K5" s="38" t="s">
        <v>127</v>
      </c>
      <c r="L5" s="38" t="s">
        <v>128</v>
      </c>
      <c r="M5" s="38" t="s">
        <v>129</v>
      </c>
      <c r="N5" s="38" t="s">
        <v>130</v>
      </c>
      <c r="O5" s="38" t="s">
        <v>131</v>
      </c>
    </row>
    <row r="6" customFormat="false" ht="48" hidden="false" customHeight="true" outlineLevel="0" collapsed="false">
      <c r="A6" s="39" t="n">
        <v>1</v>
      </c>
      <c r="B6" s="39" t="s">
        <v>289</v>
      </c>
      <c r="C6" s="39" t="s">
        <v>290</v>
      </c>
      <c r="D6" s="39" t="s">
        <v>291</v>
      </c>
      <c r="E6" s="39" t="s">
        <v>292</v>
      </c>
      <c r="F6" s="39" t="s">
        <v>293</v>
      </c>
      <c r="G6" s="39" t="s">
        <v>294</v>
      </c>
      <c r="H6" s="39" t="s">
        <v>295</v>
      </c>
      <c r="I6" s="39"/>
      <c r="J6" s="39" t="s">
        <v>138</v>
      </c>
      <c r="K6" s="39" t="s">
        <v>53</v>
      </c>
      <c r="L6" s="39"/>
      <c r="M6" s="39"/>
      <c r="N6" s="39"/>
      <c r="O6" s="39" t="s">
        <v>296</v>
      </c>
    </row>
    <row r="7" customFormat="false" ht="48" hidden="false" customHeight="true" outlineLevel="0" collapsed="false">
      <c r="A7" s="40" t="n">
        <v>2</v>
      </c>
      <c r="B7" s="40" t="s">
        <v>297</v>
      </c>
      <c r="C7" s="40" t="s">
        <v>290</v>
      </c>
      <c r="D7" s="40" t="s">
        <v>298</v>
      </c>
      <c r="E7" s="40" t="s">
        <v>299</v>
      </c>
      <c r="F7" s="40" t="s">
        <v>257</v>
      </c>
      <c r="G7" s="40" t="s">
        <v>300</v>
      </c>
      <c r="H7" s="40" t="s">
        <v>301</v>
      </c>
      <c r="I7" s="40"/>
      <c r="J7" s="40" t="s">
        <v>160</v>
      </c>
      <c r="K7" s="40" t="s">
        <v>53</v>
      </c>
      <c r="L7" s="40"/>
      <c r="M7" s="40"/>
      <c r="N7" s="40"/>
      <c r="O7" s="40" t="s">
        <v>302</v>
      </c>
    </row>
    <row r="8" customFormat="false" ht="48" hidden="false" customHeight="true" outlineLevel="0" collapsed="false">
      <c r="A8" s="39" t="n">
        <v>3</v>
      </c>
      <c r="B8" s="39" t="s">
        <v>303</v>
      </c>
      <c r="C8" s="39" t="s">
        <v>290</v>
      </c>
      <c r="D8" s="39" t="s">
        <v>304</v>
      </c>
      <c r="E8" s="39" t="s">
        <v>305</v>
      </c>
      <c r="F8" s="39" t="s">
        <v>306</v>
      </c>
      <c r="G8" s="39" t="s">
        <v>307</v>
      </c>
      <c r="H8" s="39" t="s">
        <v>308</v>
      </c>
      <c r="I8" s="39"/>
      <c r="J8" s="39" t="s">
        <v>160</v>
      </c>
      <c r="K8" s="39" t="s">
        <v>53</v>
      </c>
      <c r="L8" s="39"/>
      <c r="M8" s="39"/>
      <c r="N8" s="39"/>
      <c r="O8" s="39" t="s">
        <v>309</v>
      </c>
    </row>
    <row r="9" customFormat="false" ht="48" hidden="false" customHeight="true" outlineLevel="0" collapsed="false">
      <c r="A9" s="40" t="n">
        <v>4</v>
      </c>
      <c r="B9" s="40" t="s">
        <v>310</v>
      </c>
      <c r="C9" s="40" t="s">
        <v>290</v>
      </c>
      <c r="D9" s="40" t="s">
        <v>311</v>
      </c>
      <c r="E9" s="40" t="s">
        <v>312</v>
      </c>
      <c r="F9" s="40" t="s">
        <v>313</v>
      </c>
      <c r="G9" s="40" t="s">
        <v>314</v>
      </c>
      <c r="H9" s="40" t="s">
        <v>315</v>
      </c>
      <c r="I9" s="40"/>
      <c r="J9" s="40" t="s">
        <v>160</v>
      </c>
      <c r="K9" s="40" t="s">
        <v>53</v>
      </c>
      <c r="L9" s="40"/>
      <c r="M9" s="40"/>
      <c r="N9" s="40"/>
      <c r="O9" s="40" t="s">
        <v>316</v>
      </c>
    </row>
    <row r="10" customFormat="false" ht="48" hidden="false" customHeight="true" outlineLevel="0" collapsed="false">
      <c r="A10" s="39" t="n">
        <v>5</v>
      </c>
      <c r="B10" s="39" t="s">
        <v>317</v>
      </c>
      <c r="C10" s="39" t="s">
        <v>318</v>
      </c>
      <c r="D10" s="39" t="s">
        <v>319</v>
      </c>
      <c r="E10" s="39" t="s">
        <v>320</v>
      </c>
      <c r="F10" s="39" t="s">
        <v>321</v>
      </c>
      <c r="G10" s="39" t="s">
        <v>322</v>
      </c>
      <c r="H10" s="39" t="s">
        <v>323</v>
      </c>
      <c r="I10" s="39"/>
      <c r="J10" s="39" t="s">
        <v>160</v>
      </c>
      <c r="K10" s="39" t="s">
        <v>53</v>
      </c>
      <c r="L10" s="39"/>
      <c r="M10" s="39"/>
      <c r="N10" s="39"/>
      <c r="O10" s="39" t="s">
        <v>324</v>
      </c>
    </row>
    <row r="11" customFormat="false" ht="48" hidden="false" customHeight="true" outlineLevel="0" collapsed="false">
      <c r="A11" s="40" t="n">
        <v>6</v>
      </c>
      <c r="B11" s="40" t="s">
        <v>325</v>
      </c>
      <c r="C11" s="40" t="s">
        <v>318</v>
      </c>
      <c r="D11" s="40" t="s">
        <v>326</v>
      </c>
      <c r="E11" s="40" t="s">
        <v>327</v>
      </c>
      <c r="F11" s="40" t="s">
        <v>328</v>
      </c>
      <c r="G11" s="40" t="s">
        <v>329</v>
      </c>
      <c r="H11" s="40" t="s">
        <v>330</v>
      </c>
      <c r="I11" s="40"/>
      <c r="J11" s="40" t="s">
        <v>160</v>
      </c>
      <c r="K11" s="40" t="s">
        <v>53</v>
      </c>
      <c r="L11" s="40"/>
      <c r="M11" s="40"/>
      <c r="N11" s="40"/>
      <c r="O11" s="40" t="s">
        <v>331</v>
      </c>
    </row>
    <row r="12" customFormat="false" ht="48" hidden="false" customHeight="true" outlineLevel="0" collapsed="false">
      <c r="A12" s="39" t="n">
        <v>7</v>
      </c>
      <c r="B12" s="39" t="s">
        <v>332</v>
      </c>
      <c r="C12" s="39" t="s">
        <v>318</v>
      </c>
      <c r="D12" s="39" t="s">
        <v>333</v>
      </c>
      <c r="E12" s="39" t="s">
        <v>334</v>
      </c>
      <c r="F12" s="39" t="s">
        <v>321</v>
      </c>
      <c r="G12" s="39" t="s">
        <v>335</v>
      </c>
      <c r="H12" s="39" t="s">
        <v>336</v>
      </c>
      <c r="I12" s="39"/>
      <c r="J12" s="39" t="s">
        <v>160</v>
      </c>
      <c r="K12" s="39" t="s">
        <v>53</v>
      </c>
      <c r="L12" s="39"/>
      <c r="M12" s="39"/>
      <c r="N12" s="39"/>
      <c r="O12" s="39" t="s">
        <v>337</v>
      </c>
    </row>
    <row r="13" customFormat="false" ht="48" hidden="false" customHeight="true" outlineLevel="0" collapsed="false">
      <c r="A13" s="40" t="n">
        <v>8</v>
      </c>
      <c r="B13" s="40" t="s">
        <v>338</v>
      </c>
      <c r="C13" s="40" t="s">
        <v>318</v>
      </c>
      <c r="D13" s="40" t="s">
        <v>339</v>
      </c>
      <c r="E13" s="40" t="s">
        <v>340</v>
      </c>
      <c r="F13" s="40" t="s">
        <v>321</v>
      </c>
      <c r="G13" s="40" t="s">
        <v>341</v>
      </c>
      <c r="H13" s="40" t="s">
        <v>342</v>
      </c>
      <c r="I13" s="40"/>
      <c r="J13" s="40" t="s">
        <v>160</v>
      </c>
      <c r="K13" s="40" t="s">
        <v>53</v>
      </c>
      <c r="L13" s="40"/>
      <c r="M13" s="40"/>
      <c r="N13" s="40"/>
      <c r="O13" s="40" t="s">
        <v>343</v>
      </c>
    </row>
    <row r="14" customFormat="false" ht="48" hidden="false" customHeight="true" outlineLevel="0" collapsed="false">
      <c r="A14" s="39" t="n">
        <v>9</v>
      </c>
      <c r="B14" s="39" t="s">
        <v>344</v>
      </c>
      <c r="C14" s="39" t="s">
        <v>318</v>
      </c>
      <c r="D14" s="39" t="s">
        <v>345</v>
      </c>
      <c r="E14" s="39" t="s">
        <v>346</v>
      </c>
      <c r="F14" s="39" t="s">
        <v>347</v>
      </c>
      <c r="G14" s="39" t="s">
        <v>348</v>
      </c>
      <c r="H14" s="39" t="s">
        <v>349</v>
      </c>
      <c r="I14" s="39"/>
      <c r="J14" s="39" t="s">
        <v>160</v>
      </c>
      <c r="K14" s="39" t="s">
        <v>53</v>
      </c>
      <c r="L14" s="39"/>
      <c r="M14" s="39"/>
      <c r="N14" s="39"/>
      <c r="O14" s="39" t="s">
        <v>350</v>
      </c>
    </row>
    <row r="15" customFormat="false" ht="48" hidden="false" customHeight="true" outlineLevel="0" collapsed="false">
      <c r="A15" s="40" t="n">
        <v>10</v>
      </c>
      <c r="B15" s="40" t="s">
        <v>351</v>
      </c>
      <c r="C15" s="40" t="s">
        <v>318</v>
      </c>
      <c r="D15" s="40" t="s">
        <v>352</v>
      </c>
      <c r="E15" s="40" t="s">
        <v>353</v>
      </c>
      <c r="F15" s="40" t="s">
        <v>354</v>
      </c>
      <c r="G15" s="40" t="s">
        <v>355</v>
      </c>
      <c r="H15" s="40" t="s">
        <v>356</v>
      </c>
      <c r="I15" s="40"/>
      <c r="J15" s="40" t="s">
        <v>160</v>
      </c>
      <c r="K15" s="40" t="s">
        <v>53</v>
      </c>
      <c r="L15" s="40"/>
      <c r="M15" s="40"/>
      <c r="N15" s="40"/>
      <c r="O15" s="40" t="s">
        <v>357</v>
      </c>
    </row>
    <row r="16" customFormat="false" ht="48" hidden="false" customHeight="true" outlineLevel="0" collapsed="false">
      <c r="A16" s="39" t="n">
        <v>11</v>
      </c>
      <c r="B16" s="39" t="s">
        <v>358</v>
      </c>
      <c r="C16" s="39" t="s">
        <v>318</v>
      </c>
      <c r="D16" s="39" t="s">
        <v>359</v>
      </c>
      <c r="E16" s="39" t="s">
        <v>360</v>
      </c>
      <c r="F16" s="39" t="s">
        <v>361</v>
      </c>
      <c r="G16" s="39" t="s">
        <v>362</v>
      </c>
      <c r="H16" s="39" t="s">
        <v>363</v>
      </c>
      <c r="I16" s="39"/>
      <c r="J16" s="39" t="s">
        <v>160</v>
      </c>
      <c r="K16" s="39" t="s">
        <v>53</v>
      </c>
      <c r="L16" s="39"/>
      <c r="M16" s="39"/>
      <c r="N16" s="39"/>
      <c r="O16" s="39" t="s">
        <v>364</v>
      </c>
    </row>
    <row r="17" customFormat="false" ht="48" hidden="false" customHeight="true" outlineLevel="0" collapsed="false">
      <c r="A17" s="40" t="n">
        <v>12</v>
      </c>
      <c r="B17" s="40" t="s">
        <v>365</v>
      </c>
      <c r="C17" s="40" t="s">
        <v>318</v>
      </c>
      <c r="D17" s="40" t="s">
        <v>359</v>
      </c>
      <c r="E17" s="40" t="s">
        <v>366</v>
      </c>
      <c r="F17" s="40" t="s">
        <v>367</v>
      </c>
      <c r="G17" s="40" t="s">
        <v>368</v>
      </c>
      <c r="H17" s="40" t="s">
        <v>369</v>
      </c>
      <c r="I17" s="40"/>
      <c r="J17" s="40" t="s">
        <v>160</v>
      </c>
      <c r="K17" s="40" t="s">
        <v>53</v>
      </c>
      <c r="L17" s="40"/>
      <c r="M17" s="40"/>
      <c r="N17" s="40"/>
      <c r="O17" s="40" t="s">
        <v>370</v>
      </c>
    </row>
    <row r="18" customFormat="false" ht="48" hidden="false" customHeight="true" outlineLevel="0" collapsed="false">
      <c r="A18" s="39" t="n">
        <v>13</v>
      </c>
      <c r="B18" s="39" t="s">
        <v>371</v>
      </c>
      <c r="C18" s="39" t="s">
        <v>372</v>
      </c>
      <c r="D18" s="39" t="s">
        <v>373</v>
      </c>
      <c r="E18" s="39" t="s">
        <v>374</v>
      </c>
      <c r="F18" s="39" t="s">
        <v>375</v>
      </c>
      <c r="G18" s="39" t="s">
        <v>376</v>
      </c>
      <c r="H18" s="39" t="s">
        <v>377</v>
      </c>
      <c r="I18" s="39"/>
      <c r="J18" s="39" t="s">
        <v>160</v>
      </c>
      <c r="K18" s="39" t="s">
        <v>53</v>
      </c>
      <c r="L18" s="39"/>
      <c r="M18" s="39"/>
      <c r="N18" s="39"/>
      <c r="O18" s="39" t="s">
        <v>378</v>
      </c>
    </row>
    <row r="19" customFormat="false" ht="48" hidden="false" customHeight="true" outlineLevel="0" collapsed="false">
      <c r="A19" s="40" t="n">
        <v>14</v>
      </c>
      <c r="B19" s="40" t="s">
        <v>379</v>
      </c>
      <c r="C19" s="40" t="s">
        <v>372</v>
      </c>
      <c r="D19" s="40" t="s">
        <v>373</v>
      </c>
      <c r="E19" s="40" t="s">
        <v>380</v>
      </c>
      <c r="F19" s="40" t="s">
        <v>381</v>
      </c>
      <c r="G19" s="40" t="s">
        <v>382</v>
      </c>
      <c r="H19" s="40" t="s">
        <v>383</v>
      </c>
      <c r="I19" s="40"/>
      <c r="J19" s="40" t="s">
        <v>160</v>
      </c>
      <c r="K19" s="40" t="s">
        <v>53</v>
      </c>
      <c r="L19" s="40"/>
      <c r="M19" s="40"/>
      <c r="N19" s="40"/>
      <c r="O19" s="40" t="s">
        <v>384</v>
      </c>
    </row>
  </sheetData>
  <autoFilter ref="A5:O19"/>
  <mergeCells count="2">
    <mergeCell ref="A2:O2"/>
    <mergeCell ref="A3:O3"/>
  </mergeCells>
  <dataValidations count="2">
    <dataValidation allowBlank="false" errorStyle="stop" operator="between" showDropDown="false" showErrorMessage="false" showInputMessage="false" sqref="K6:K19" type="list">
      <formula1>"Pass,Fail,Blocked,Not Executed"</formula1>
      <formula2>0</formula2>
    </dataValidation>
    <dataValidation allowBlank="false" errorStyle="stop" operator="between" showDropDown="false" showErrorMessage="false" showInputMessage="false" sqref="J6:J19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&amp;LCloud Sphere UAT  ·  Cart Discount</oddHeader>
    <oddFooter>&amp;RCSS-UAT-2026-001  ·  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65D"/>
    <pageSetUpPr fitToPage="true"/>
  </sheetPr>
  <dimension ref="A2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32"/>
    <col collapsed="false" customWidth="true" hidden="false" outlineLevel="0" max="6" min="6" style="1" width="28"/>
    <col collapsed="false" customWidth="true" hidden="false" outlineLevel="0" max="8" min="7" style="1" width="40"/>
    <col collapsed="false" customWidth="true" hidden="false" outlineLevel="0" max="9" min="9" style="1" width="22"/>
    <col collapsed="false" customWidth="true" hidden="false" outlineLevel="0" max="10" min="10" style="1" width="12"/>
    <col collapsed="false" customWidth="true" hidden="false" outlineLevel="0" max="12" min="11" style="1" width="14"/>
    <col collapsed="false" customWidth="true" hidden="false" outlineLevel="0" max="14" min="13" style="1" width="12"/>
    <col collapsed="false" customWidth="true" hidden="false" outlineLevel="0" max="15" min="15" style="1" width="28"/>
  </cols>
  <sheetData>
    <row r="2" customFormat="false" ht="21.75" hidden="false" customHeight="true" outlineLevel="0" collapsed="false">
      <c r="A2" s="3" t="s">
        <v>385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31.5" hidden="false" customHeight="true" outlineLevel="0" collapsed="false">
      <c r="A3" s="18" t="s">
        <v>386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customFormat="false" ht="15" hidden="false" customHeight="true" outlineLevel="0" collapsed="false">
      <c r="A4" s="36" t="s">
        <v>99</v>
      </c>
      <c r="B4" s="36" t="n">
        <f aca="false">COUNTA(B6:B19)</f>
        <v>14</v>
      </c>
      <c r="C4" s="36" t="s">
        <v>47</v>
      </c>
      <c r="D4" s="36" t="n">
        <f aca="false">COUNTIF(K6:K19,"Pass")</f>
        <v>0</v>
      </c>
      <c r="E4" s="36" t="s">
        <v>49</v>
      </c>
      <c r="F4" s="36" t="n">
        <f aca="false">COUNTIF(K6:K19,"Fail")</f>
        <v>0</v>
      </c>
      <c r="G4" s="36" t="s">
        <v>51</v>
      </c>
      <c r="H4" s="36" t="n">
        <f aca="false">COUNTIF(K6:K19,"Blocked")</f>
        <v>0</v>
      </c>
      <c r="I4" s="36" t="s">
        <v>53</v>
      </c>
      <c r="J4" s="36" t="n">
        <f aca="false">COUNTIF(K6:K19,"Not Executed")</f>
        <v>14</v>
      </c>
      <c r="K4" s="36" t="s">
        <v>100</v>
      </c>
      <c r="L4" s="37" t="n">
        <f aca="false">IF(B4=0,0,D4/B4)</f>
        <v>0</v>
      </c>
    </row>
    <row r="5" customFormat="false" ht="27.75" hidden="false" customHeight="true" outlineLevel="0" collapsed="false">
      <c r="A5" s="38" t="s">
        <v>118</v>
      </c>
      <c r="B5" s="38" t="s">
        <v>119</v>
      </c>
      <c r="C5" s="38" t="s">
        <v>98</v>
      </c>
      <c r="D5" s="38" t="s">
        <v>120</v>
      </c>
      <c r="E5" s="38" t="s">
        <v>121</v>
      </c>
      <c r="F5" s="38" t="s">
        <v>122</v>
      </c>
      <c r="G5" s="38" t="s">
        <v>123</v>
      </c>
      <c r="H5" s="38" t="s">
        <v>124</v>
      </c>
      <c r="I5" s="38" t="s">
        <v>125</v>
      </c>
      <c r="J5" s="38" t="s">
        <v>126</v>
      </c>
      <c r="K5" s="38" t="s">
        <v>127</v>
      </c>
      <c r="L5" s="38" t="s">
        <v>128</v>
      </c>
      <c r="M5" s="38" t="s">
        <v>129</v>
      </c>
      <c r="N5" s="38" t="s">
        <v>130</v>
      </c>
      <c r="O5" s="38" t="s">
        <v>131</v>
      </c>
    </row>
    <row r="6" customFormat="false" ht="48" hidden="false" customHeight="true" outlineLevel="0" collapsed="false">
      <c r="A6" s="39" t="n">
        <v>1</v>
      </c>
      <c r="B6" s="39" t="s">
        <v>387</v>
      </c>
      <c r="C6" s="39" t="s">
        <v>104</v>
      </c>
      <c r="D6" s="39" t="s">
        <v>388</v>
      </c>
      <c r="E6" s="39" t="s">
        <v>389</v>
      </c>
      <c r="F6" s="39" t="s">
        <v>390</v>
      </c>
      <c r="G6" s="39" t="s">
        <v>391</v>
      </c>
      <c r="H6" s="39" t="s">
        <v>392</v>
      </c>
      <c r="I6" s="39"/>
      <c r="J6" s="39" t="s">
        <v>138</v>
      </c>
      <c r="K6" s="39" t="s">
        <v>53</v>
      </c>
      <c r="L6" s="39"/>
      <c r="M6" s="39"/>
      <c r="N6" s="39"/>
      <c r="O6" s="39" t="s">
        <v>393</v>
      </c>
    </row>
    <row r="7" customFormat="false" ht="48" hidden="false" customHeight="true" outlineLevel="0" collapsed="false">
      <c r="A7" s="40" t="n">
        <v>2</v>
      </c>
      <c r="B7" s="40" t="s">
        <v>394</v>
      </c>
      <c r="C7" s="40" t="s">
        <v>104</v>
      </c>
      <c r="D7" s="40" t="s">
        <v>395</v>
      </c>
      <c r="E7" s="40" t="s">
        <v>396</v>
      </c>
      <c r="F7" s="40" t="s">
        <v>397</v>
      </c>
      <c r="G7" s="40" t="s">
        <v>398</v>
      </c>
      <c r="H7" s="40" t="s">
        <v>399</v>
      </c>
      <c r="I7" s="40"/>
      <c r="J7" s="40" t="s">
        <v>160</v>
      </c>
      <c r="K7" s="40" t="s">
        <v>53</v>
      </c>
      <c r="L7" s="40"/>
      <c r="M7" s="40"/>
      <c r="N7" s="40"/>
      <c r="O7" s="40" t="s">
        <v>400</v>
      </c>
    </row>
    <row r="8" customFormat="false" ht="72.75" hidden="false" customHeight="true" outlineLevel="0" collapsed="false">
      <c r="A8" s="39" t="n">
        <v>3</v>
      </c>
      <c r="B8" s="39" t="s">
        <v>401</v>
      </c>
      <c r="C8" s="39" t="s">
        <v>104</v>
      </c>
      <c r="D8" s="39" t="s">
        <v>402</v>
      </c>
      <c r="E8" s="39" t="s">
        <v>403</v>
      </c>
      <c r="F8" s="39" t="s">
        <v>404</v>
      </c>
      <c r="G8" s="39" t="s">
        <v>405</v>
      </c>
      <c r="H8" s="39" t="s">
        <v>406</v>
      </c>
      <c r="I8" s="39"/>
      <c r="J8" s="39" t="s">
        <v>138</v>
      </c>
      <c r="K8" s="39" t="s">
        <v>53</v>
      </c>
      <c r="L8" s="39"/>
      <c r="M8" s="39"/>
      <c r="N8" s="39"/>
      <c r="O8" s="39" t="s">
        <v>407</v>
      </c>
    </row>
    <row r="9" customFormat="false" ht="48" hidden="false" customHeight="true" outlineLevel="0" collapsed="false">
      <c r="A9" s="40" t="n">
        <v>4</v>
      </c>
      <c r="B9" s="40" t="s">
        <v>408</v>
      </c>
      <c r="C9" s="40" t="s">
        <v>104</v>
      </c>
      <c r="D9" s="40" t="s">
        <v>409</v>
      </c>
      <c r="E9" s="40" t="s">
        <v>410</v>
      </c>
      <c r="F9" s="40" t="s">
        <v>411</v>
      </c>
      <c r="G9" s="40" t="s">
        <v>412</v>
      </c>
      <c r="H9" s="40" t="s">
        <v>413</v>
      </c>
      <c r="I9" s="40"/>
      <c r="J9" s="40" t="s">
        <v>160</v>
      </c>
      <c r="K9" s="40" t="s">
        <v>53</v>
      </c>
      <c r="L9" s="40"/>
      <c r="M9" s="40"/>
      <c r="N9" s="40"/>
      <c r="O9" s="40" t="s">
        <v>414</v>
      </c>
    </row>
    <row r="10" customFormat="false" ht="48" hidden="false" customHeight="true" outlineLevel="0" collapsed="false">
      <c r="A10" s="39" t="n">
        <v>5</v>
      </c>
      <c r="B10" s="39" t="s">
        <v>415</v>
      </c>
      <c r="C10" s="39" t="s">
        <v>416</v>
      </c>
      <c r="D10" s="39" t="s">
        <v>417</v>
      </c>
      <c r="E10" s="39" t="s">
        <v>418</v>
      </c>
      <c r="F10" s="39" t="s">
        <v>419</v>
      </c>
      <c r="G10" s="39" t="s">
        <v>420</v>
      </c>
      <c r="H10" s="39" t="s">
        <v>421</v>
      </c>
      <c r="I10" s="39"/>
      <c r="J10" s="39" t="s">
        <v>138</v>
      </c>
      <c r="K10" s="39" t="s">
        <v>53</v>
      </c>
      <c r="L10" s="39"/>
      <c r="M10" s="39"/>
      <c r="N10" s="39"/>
      <c r="O10" s="39" t="s">
        <v>422</v>
      </c>
    </row>
    <row r="11" customFormat="false" ht="48" hidden="false" customHeight="true" outlineLevel="0" collapsed="false">
      <c r="A11" s="40" t="n">
        <v>6</v>
      </c>
      <c r="B11" s="40" t="s">
        <v>423</v>
      </c>
      <c r="C11" s="40" t="s">
        <v>104</v>
      </c>
      <c r="D11" s="40" t="s">
        <v>424</v>
      </c>
      <c r="E11" s="40" t="s">
        <v>425</v>
      </c>
      <c r="F11" s="40" t="s">
        <v>426</v>
      </c>
      <c r="G11" s="40" t="s">
        <v>427</v>
      </c>
      <c r="H11" s="40" t="s">
        <v>428</v>
      </c>
      <c r="I11" s="40"/>
      <c r="J11" s="40" t="s">
        <v>160</v>
      </c>
      <c r="K11" s="40" t="s">
        <v>53</v>
      </c>
      <c r="L11" s="40"/>
      <c r="M11" s="40"/>
      <c r="N11" s="40"/>
      <c r="O11" s="40" t="s">
        <v>429</v>
      </c>
    </row>
    <row r="12" customFormat="false" ht="48" hidden="false" customHeight="true" outlineLevel="0" collapsed="false">
      <c r="A12" s="39" t="n">
        <v>7</v>
      </c>
      <c r="B12" s="39" t="s">
        <v>430</v>
      </c>
      <c r="C12" s="39" t="s">
        <v>104</v>
      </c>
      <c r="D12" s="39" t="s">
        <v>431</v>
      </c>
      <c r="E12" s="39" t="s">
        <v>432</v>
      </c>
      <c r="F12" s="39" t="s">
        <v>411</v>
      </c>
      <c r="G12" s="39" t="s">
        <v>433</v>
      </c>
      <c r="H12" s="39" t="s">
        <v>434</v>
      </c>
      <c r="I12" s="39"/>
      <c r="J12" s="39" t="s">
        <v>160</v>
      </c>
      <c r="K12" s="39" t="s">
        <v>53</v>
      </c>
      <c r="L12" s="39"/>
      <c r="M12" s="39"/>
      <c r="N12" s="39"/>
      <c r="O12" s="39" t="s">
        <v>435</v>
      </c>
    </row>
    <row r="13" customFormat="false" ht="48" hidden="false" customHeight="true" outlineLevel="0" collapsed="false">
      <c r="A13" s="40" t="n">
        <v>8</v>
      </c>
      <c r="B13" s="40" t="s">
        <v>436</v>
      </c>
      <c r="C13" s="40" t="s">
        <v>416</v>
      </c>
      <c r="D13" s="40" t="s">
        <v>437</v>
      </c>
      <c r="E13" s="40" t="s">
        <v>438</v>
      </c>
      <c r="F13" s="40" t="s">
        <v>439</v>
      </c>
      <c r="G13" s="40" t="s">
        <v>440</v>
      </c>
      <c r="H13" s="40" t="s">
        <v>441</v>
      </c>
      <c r="I13" s="40"/>
      <c r="J13" s="40" t="s">
        <v>138</v>
      </c>
      <c r="K13" s="40" t="s">
        <v>53</v>
      </c>
      <c r="L13" s="40"/>
      <c r="M13" s="40"/>
      <c r="N13" s="40"/>
      <c r="O13" s="40" t="s">
        <v>442</v>
      </c>
    </row>
    <row r="14" customFormat="false" ht="60" hidden="false" customHeight="true" outlineLevel="0" collapsed="false">
      <c r="A14" s="39" t="n">
        <v>9</v>
      </c>
      <c r="B14" s="39" t="s">
        <v>443</v>
      </c>
      <c r="C14" s="39" t="s">
        <v>416</v>
      </c>
      <c r="D14" s="39" t="s">
        <v>444</v>
      </c>
      <c r="E14" s="39" t="s">
        <v>445</v>
      </c>
      <c r="F14" s="39" t="s">
        <v>446</v>
      </c>
      <c r="G14" s="39" t="s">
        <v>447</v>
      </c>
      <c r="H14" s="39" t="s">
        <v>448</v>
      </c>
      <c r="I14" s="39"/>
      <c r="J14" s="39" t="s">
        <v>138</v>
      </c>
      <c r="K14" s="39" t="s">
        <v>53</v>
      </c>
      <c r="L14" s="39"/>
      <c r="M14" s="39"/>
      <c r="N14" s="39"/>
      <c r="O14" s="39" t="s">
        <v>449</v>
      </c>
    </row>
    <row r="15" customFormat="false" ht="60" hidden="false" customHeight="true" outlineLevel="0" collapsed="false">
      <c r="A15" s="40" t="n">
        <v>10</v>
      </c>
      <c r="B15" s="40" t="s">
        <v>450</v>
      </c>
      <c r="C15" s="40" t="s">
        <v>416</v>
      </c>
      <c r="D15" s="40" t="s">
        <v>451</v>
      </c>
      <c r="E15" s="40" t="s">
        <v>452</v>
      </c>
      <c r="F15" s="40" t="s">
        <v>453</v>
      </c>
      <c r="G15" s="40" t="s">
        <v>454</v>
      </c>
      <c r="H15" s="40" t="s">
        <v>455</v>
      </c>
      <c r="I15" s="40"/>
      <c r="J15" s="40" t="s">
        <v>160</v>
      </c>
      <c r="K15" s="40" t="s">
        <v>53</v>
      </c>
      <c r="L15" s="40"/>
      <c r="M15" s="40"/>
      <c r="N15" s="40"/>
      <c r="O15" s="40" t="s">
        <v>456</v>
      </c>
    </row>
    <row r="16" customFormat="false" ht="48" hidden="false" customHeight="true" outlineLevel="0" collapsed="false">
      <c r="A16" s="39" t="n">
        <v>11</v>
      </c>
      <c r="B16" s="39" t="s">
        <v>457</v>
      </c>
      <c r="C16" s="39" t="s">
        <v>104</v>
      </c>
      <c r="D16" s="39" t="s">
        <v>458</v>
      </c>
      <c r="E16" s="39" t="s">
        <v>459</v>
      </c>
      <c r="F16" s="39" t="s">
        <v>460</v>
      </c>
      <c r="G16" s="39" t="s">
        <v>461</v>
      </c>
      <c r="H16" s="39" t="s">
        <v>462</v>
      </c>
      <c r="I16" s="39"/>
      <c r="J16" s="39" t="s">
        <v>182</v>
      </c>
      <c r="K16" s="39" t="s">
        <v>53</v>
      </c>
      <c r="L16" s="39"/>
      <c r="M16" s="39"/>
      <c r="N16" s="39"/>
      <c r="O16" s="39" t="s">
        <v>463</v>
      </c>
    </row>
    <row r="17" customFormat="false" ht="48" hidden="false" customHeight="true" outlineLevel="0" collapsed="false">
      <c r="A17" s="40" t="n">
        <v>12</v>
      </c>
      <c r="B17" s="40" t="s">
        <v>464</v>
      </c>
      <c r="C17" s="40" t="s">
        <v>104</v>
      </c>
      <c r="D17" s="40" t="s">
        <v>465</v>
      </c>
      <c r="E17" s="40" t="s">
        <v>466</v>
      </c>
      <c r="F17" s="40" t="s">
        <v>467</v>
      </c>
      <c r="G17" s="40" t="s">
        <v>468</v>
      </c>
      <c r="H17" s="40" t="s">
        <v>469</v>
      </c>
      <c r="I17" s="40"/>
      <c r="J17" s="40" t="s">
        <v>160</v>
      </c>
      <c r="K17" s="40" t="s">
        <v>53</v>
      </c>
      <c r="L17" s="40"/>
      <c r="M17" s="40"/>
      <c r="N17" s="40"/>
      <c r="O17" s="40" t="s">
        <v>400</v>
      </c>
    </row>
    <row r="18" customFormat="false" ht="48" hidden="false" customHeight="true" outlineLevel="0" collapsed="false">
      <c r="A18" s="39" t="n">
        <v>13</v>
      </c>
      <c r="B18" s="39" t="s">
        <v>470</v>
      </c>
      <c r="C18" s="39" t="s">
        <v>104</v>
      </c>
      <c r="D18" s="39" t="s">
        <v>471</v>
      </c>
      <c r="E18" s="39" t="s">
        <v>472</v>
      </c>
      <c r="F18" s="39" t="s">
        <v>473</v>
      </c>
      <c r="G18" s="39" t="s">
        <v>474</v>
      </c>
      <c r="H18" s="39" t="s">
        <v>475</v>
      </c>
      <c r="I18" s="39"/>
      <c r="J18" s="39" t="s">
        <v>160</v>
      </c>
      <c r="K18" s="39" t="s">
        <v>53</v>
      </c>
      <c r="L18" s="39"/>
      <c r="M18" s="39"/>
      <c r="N18" s="39"/>
      <c r="O18" s="39" t="s">
        <v>476</v>
      </c>
    </row>
    <row r="19" customFormat="false" ht="48" hidden="false" customHeight="true" outlineLevel="0" collapsed="false">
      <c r="A19" s="40" t="n">
        <v>14</v>
      </c>
      <c r="B19" s="40" t="s">
        <v>477</v>
      </c>
      <c r="C19" s="40" t="s">
        <v>104</v>
      </c>
      <c r="D19" s="40" t="s">
        <v>478</v>
      </c>
      <c r="E19" s="40" t="s">
        <v>479</v>
      </c>
      <c r="F19" s="40" t="s">
        <v>480</v>
      </c>
      <c r="G19" s="40" t="s">
        <v>481</v>
      </c>
      <c r="H19" s="40" t="s">
        <v>482</v>
      </c>
      <c r="I19" s="40"/>
      <c r="J19" s="40" t="s">
        <v>160</v>
      </c>
      <c r="K19" s="40" t="s">
        <v>53</v>
      </c>
      <c r="L19" s="40"/>
      <c r="M19" s="40"/>
      <c r="N19" s="40"/>
      <c r="O19" s="40" t="s">
        <v>483</v>
      </c>
    </row>
  </sheetData>
  <autoFilter ref="A5:O19"/>
  <mergeCells count="2">
    <mergeCell ref="A2:O2"/>
    <mergeCell ref="A3:O3"/>
  </mergeCells>
  <dataValidations count="2">
    <dataValidation allowBlank="false" errorStyle="stop" operator="between" showDropDown="false" showErrorMessage="false" showInputMessage="false" sqref="K6:K19" type="list">
      <formula1>"Pass,Fail,Blocked,Not Executed"</formula1>
      <formula2>0</formula2>
    </dataValidation>
    <dataValidation allowBlank="false" errorStyle="stop" operator="between" showDropDown="false" showErrorMessage="false" showInputMessage="false" sqref="J6:J19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&amp;LCloud Sphere UAT  ·  Checkout</oddHeader>
    <oddFooter>&amp;RCSS-UAT-2026-001  ·  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65D"/>
    <pageSetUpPr fitToPage="true"/>
  </sheetPr>
  <dimension ref="A2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32"/>
    <col collapsed="false" customWidth="true" hidden="false" outlineLevel="0" max="6" min="6" style="1" width="28"/>
    <col collapsed="false" customWidth="true" hidden="false" outlineLevel="0" max="8" min="7" style="1" width="40"/>
    <col collapsed="false" customWidth="true" hidden="false" outlineLevel="0" max="9" min="9" style="1" width="22"/>
    <col collapsed="false" customWidth="true" hidden="false" outlineLevel="0" max="10" min="10" style="1" width="12"/>
    <col collapsed="false" customWidth="true" hidden="false" outlineLevel="0" max="12" min="11" style="1" width="14"/>
    <col collapsed="false" customWidth="true" hidden="false" outlineLevel="0" max="14" min="13" style="1" width="12"/>
    <col collapsed="false" customWidth="true" hidden="false" outlineLevel="0" max="15" min="15" style="1" width="28"/>
  </cols>
  <sheetData>
    <row r="2" customFormat="false" ht="21.75" hidden="false" customHeight="true" outlineLevel="0" collapsed="false">
      <c r="A2" s="3" t="s">
        <v>484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31.5" hidden="false" customHeight="true" outlineLevel="0" collapsed="false">
      <c r="A3" s="18" t="s">
        <v>485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customFormat="false" ht="15" hidden="false" customHeight="true" outlineLevel="0" collapsed="false">
      <c r="A4" s="36" t="s">
        <v>99</v>
      </c>
      <c r="B4" s="36" t="n">
        <f aca="false">COUNTA(B6:B19)</f>
        <v>14</v>
      </c>
      <c r="C4" s="36" t="s">
        <v>47</v>
      </c>
      <c r="D4" s="36" t="n">
        <f aca="false">COUNTIF(K6:K19,"Pass")</f>
        <v>0</v>
      </c>
      <c r="E4" s="36" t="s">
        <v>49</v>
      </c>
      <c r="F4" s="36" t="n">
        <f aca="false">COUNTIF(K6:K19,"Fail")</f>
        <v>0</v>
      </c>
      <c r="G4" s="36" t="s">
        <v>51</v>
      </c>
      <c r="H4" s="36" t="n">
        <f aca="false">COUNTIF(K6:K19,"Blocked")</f>
        <v>0</v>
      </c>
      <c r="I4" s="36" t="s">
        <v>53</v>
      </c>
      <c r="J4" s="36" t="n">
        <f aca="false">COUNTIF(K6:K19,"Not Executed")</f>
        <v>14</v>
      </c>
      <c r="K4" s="36" t="s">
        <v>100</v>
      </c>
      <c r="L4" s="37" t="n">
        <f aca="false">IF(B4=0,0,D4/B4)</f>
        <v>0</v>
      </c>
    </row>
    <row r="5" customFormat="false" ht="27.75" hidden="false" customHeight="true" outlineLevel="0" collapsed="false">
      <c r="A5" s="38" t="s">
        <v>118</v>
      </c>
      <c r="B5" s="38" t="s">
        <v>119</v>
      </c>
      <c r="C5" s="38" t="s">
        <v>98</v>
      </c>
      <c r="D5" s="38" t="s">
        <v>120</v>
      </c>
      <c r="E5" s="38" t="s">
        <v>121</v>
      </c>
      <c r="F5" s="38" t="s">
        <v>122</v>
      </c>
      <c r="G5" s="38" t="s">
        <v>123</v>
      </c>
      <c r="H5" s="38" t="s">
        <v>124</v>
      </c>
      <c r="I5" s="38" t="s">
        <v>125</v>
      </c>
      <c r="J5" s="38" t="s">
        <v>126</v>
      </c>
      <c r="K5" s="38" t="s">
        <v>127</v>
      </c>
      <c r="L5" s="38" t="s">
        <v>128</v>
      </c>
      <c r="M5" s="38" t="s">
        <v>129</v>
      </c>
      <c r="N5" s="38" t="s">
        <v>130</v>
      </c>
      <c r="O5" s="38" t="s">
        <v>131</v>
      </c>
    </row>
    <row r="6" customFormat="false" ht="48" hidden="false" customHeight="true" outlineLevel="0" collapsed="false">
      <c r="A6" s="39" t="n">
        <v>1</v>
      </c>
      <c r="B6" s="39" t="s">
        <v>486</v>
      </c>
      <c r="C6" s="39" t="s">
        <v>487</v>
      </c>
      <c r="D6" s="39" t="s">
        <v>291</v>
      </c>
      <c r="E6" s="39" t="s">
        <v>488</v>
      </c>
      <c r="F6" s="39" t="s">
        <v>489</v>
      </c>
      <c r="G6" s="39" t="s">
        <v>490</v>
      </c>
      <c r="H6" s="39" t="s">
        <v>491</v>
      </c>
      <c r="I6" s="39"/>
      <c r="J6" s="39" t="s">
        <v>160</v>
      </c>
      <c r="K6" s="39" t="s">
        <v>53</v>
      </c>
      <c r="L6" s="39"/>
      <c r="M6" s="39"/>
      <c r="N6" s="39"/>
      <c r="O6" s="39" t="s">
        <v>492</v>
      </c>
    </row>
    <row r="7" customFormat="false" ht="48" hidden="false" customHeight="true" outlineLevel="0" collapsed="false">
      <c r="A7" s="40" t="n">
        <v>2</v>
      </c>
      <c r="B7" s="40" t="s">
        <v>493</v>
      </c>
      <c r="C7" s="40" t="s">
        <v>487</v>
      </c>
      <c r="D7" s="40" t="s">
        <v>494</v>
      </c>
      <c r="E7" s="40" t="s">
        <v>495</v>
      </c>
      <c r="F7" s="40" t="s">
        <v>496</v>
      </c>
      <c r="G7" s="40" t="s">
        <v>497</v>
      </c>
      <c r="H7" s="40" t="s">
        <v>498</v>
      </c>
      <c r="I7" s="40"/>
      <c r="J7" s="40" t="s">
        <v>160</v>
      </c>
      <c r="K7" s="40" t="s">
        <v>53</v>
      </c>
      <c r="L7" s="40"/>
      <c r="M7" s="40"/>
      <c r="N7" s="40"/>
      <c r="O7" s="40" t="s">
        <v>499</v>
      </c>
    </row>
    <row r="8" customFormat="false" ht="48" hidden="false" customHeight="true" outlineLevel="0" collapsed="false">
      <c r="A8" s="39" t="n">
        <v>3</v>
      </c>
      <c r="B8" s="39" t="s">
        <v>500</v>
      </c>
      <c r="C8" s="39" t="s">
        <v>487</v>
      </c>
      <c r="D8" s="39" t="s">
        <v>501</v>
      </c>
      <c r="E8" s="39" t="s">
        <v>502</v>
      </c>
      <c r="F8" s="39" t="s">
        <v>503</v>
      </c>
      <c r="G8" s="39" t="s">
        <v>504</v>
      </c>
      <c r="H8" s="39" t="s">
        <v>505</v>
      </c>
      <c r="I8" s="39"/>
      <c r="J8" s="39" t="s">
        <v>160</v>
      </c>
      <c r="K8" s="39" t="s">
        <v>53</v>
      </c>
      <c r="L8" s="39"/>
      <c r="M8" s="39"/>
      <c r="N8" s="39"/>
      <c r="O8" s="39" t="s">
        <v>506</v>
      </c>
    </row>
    <row r="9" customFormat="false" ht="48" hidden="false" customHeight="true" outlineLevel="0" collapsed="false">
      <c r="A9" s="40" t="n">
        <v>4</v>
      </c>
      <c r="B9" s="40" t="s">
        <v>507</v>
      </c>
      <c r="C9" s="40" t="s">
        <v>487</v>
      </c>
      <c r="D9" s="40" t="s">
        <v>508</v>
      </c>
      <c r="E9" s="40" t="s">
        <v>509</v>
      </c>
      <c r="F9" s="40" t="s">
        <v>510</v>
      </c>
      <c r="G9" s="40" t="s">
        <v>511</v>
      </c>
      <c r="H9" s="40" t="s">
        <v>512</v>
      </c>
      <c r="I9" s="40"/>
      <c r="J9" s="40" t="s">
        <v>160</v>
      </c>
      <c r="K9" s="40" t="s">
        <v>53</v>
      </c>
      <c r="L9" s="40"/>
      <c r="M9" s="40"/>
      <c r="N9" s="40"/>
      <c r="O9" s="40" t="s">
        <v>513</v>
      </c>
    </row>
    <row r="10" customFormat="false" ht="48" hidden="false" customHeight="true" outlineLevel="0" collapsed="false">
      <c r="A10" s="39" t="n">
        <v>5</v>
      </c>
      <c r="B10" s="39" t="s">
        <v>514</v>
      </c>
      <c r="C10" s="39" t="s">
        <v>487</v>
      </c>
      <c r="D10" s="39" t="s">
        <v>290</v>
      </c>
      <c r="E10" s="39" t="s">
        <v>515</v>
      </c>
      <c r="F10" s="39" t="s">
        <v>516</v>
      </c>
      <c r="G10" s="39" t="s">
        <v>517</v>
      </c>
      <c r="H10" s="39" t="s">
        <v>518</v>
      </c>
      <c r="I10" s="39"/>
      <c r="J10" s="39" t="s">
        <v>182</v>
      </c>
      <c r="K10" s="39" t="s">
        <v>53</v>
      </c>
      <c r="L10" s="39"/>
      <c r="M10" s="39"/>
      <c r="N10" s="39"/>
      <c r="O10" s="39" t="s">
        <v>519</v>
      </c>
    </row>
    <row r="11" customFormat="false" ht="48" hidden="false" customHeight="true" outlineLevel="0" collapsed="false">
      <c r="A11" s="40" t="n">
        <v>6</v>
      </c>
      <c r="B11" s="40" t="s">
        <v>520</v>
      </c>
      <c r="C11" s="40" t="s">
        <v>487</v>
      </c>
      <c r="D11" s="40" t="s">
        <v>521</v>
      </c>
      <c r="E11" s="40" t="s">
        <v>522</v>
      </c>
      <c r="F11" s="40" t="s">
        <v>523</v>
      </c>
      <c r="G11" s="40" t="s">
        <v>524</v>
      </c>
      <c r="H11" s="40" t="s">
        <v>525</v>
      </c>
      <c r="I11" s="40"/>
      <c r="J11" s="40" t="s">
        <v>138</v>
      </c>
      <c r="K11" s="40" t="s">
        <v>53</v>
      </c>
      <c r="L11" s="40"/>
      <c r="M11" s="40"/>
      <c r="N11" s="40"/>
      <c r="O11" s="40" t="s">
        <v>526</v>
      </c>
    </row>
    <row r="12" customFormat="false" ht="48" hidden="false" customHeight="true" outlineLevel="0" collapsed="false">
      <c r="A12" s="39" t="n">
        <v>7</v>
      </c>
      <c r="B12" s="39" t="s">
        <v>527</v>
      </c>
      <c r="C12" s="39" t="s">
        <v>487</v>
      </c>
      <c r="D12" s="39" t="s">
        <v>248</v>
      </c>
      <c r="E12" s="39" t="s">
        <v>528</v>
      </c>
      <c r="F12" s="39" t="s">
        <v>529</v>
      </c>
      <c r="G12" s="39" t="s">
        <v>530</v>
      </c>
      <c r="H12" s="39" t="s">
        <v>531</v>
      </c>
      <c r="I12" s="39"/>
      <c r="J12" s="39" t="s">
        <v>182</v>
      </c>
      <c r="K12" s="39" t="s">
        <v>53</v>
      </c>
      <c r="L12" s="39"/>
      <c r="M12" s="39"/>
      <c r="N12" s="39"/>
      <c r="O12" s="39" t="s">
        <v>532</v>
      </c>
    </row>
    <row r="13" customFormat="false" ht="48" hidden="false" customHeight="true" outlineLevel="0" collapsed="false">
      <c r="A13" s="40" t="n">
        <v>8</v>
      </c>
      <c r="B13" s="40" t="s">
        <v>533</v>
      </c>
      <c r="C13" s="40" t="s">
        <v>534</v>
      </c>
      <c r="D13" s="40" t="s">
        <v>535</v>
      </c>
      <c r="E13" s="40" t="s">
        <v>536</v>
      </c>
      <c r="F13" s="40" t="s">
        <v>537</v>
      </c>
      <c r="G13" s="40" t="s">
        <v>538</v>
      </c>
      <c r="H13" s="40" t="s">
        <v>539</v>
      </c>
      <c r="I13" s="40"/>
      <c r="J13" s="40" t="s">
        <v>160</v>
      </c>
      <c r="K13" s="40" t="s">
        <v>53</v>
      </c>
      <c r="L13" s="40"/>
      <c r="M13" s="40"/>
      <c r="N13" s="40"/>
      <c r="O13" s="40" t="s">
        <v>540</v>
      </c>
    </row>
    <row r="14" customFormat="false" ht="48" hidden="false" customHeight="true" outlineLevel="0" collapsed="false">
      <c r="A14" s="39" t="n">
        <v>9</v>
      </c>
      <c r="B14" s="39" t="s">
        <v>541</v>
      </c>
      <c r="C14" s="39" t="s">
        <v>534</v>
      </c>
      <c r="D14" s="39" t="s">
        <v>542</v>
      </c>
      <c r="E14" s="39" t="s">
        <v>543</v>
      </c>
      <c r="F14" s="39" t="s">
        <v>544</v>
      </c>
      <c r="G14" s="39" t="s">
        <v>545</v>
      </c>
      <c r="H14" s="39" t="s">
        <v>546</v>
      </c>
      <c r="I14" s="39"/>
      <c r="J14" s="39" t="s">
        <v>138</v>
      </c>
      <c r="K14" s="39" t="s">
        <v>53</v>
      </c>
      <c r="L14" s="39"/>
      <c r="M14" s="39"/>
      <c r="N14" s="39"/>
      <c r="O14" s="39" t="s">
        <v>547</v>
      </c>
    </row>
    <row r="15" customFormat="false" ht="48" hidden="false" customHeight="true" outlineLevel="0" collapsed="false">
      <c r="A15" s="40" t="n">
        <v>10</v>
      </c>
      <c r="B15" s="40" t="s">
        <v>548</v>
      </c>
      <c r="C15" s="40" t="s">
        <v>534</v>
      </c>
      <c r="D15" s="40" t="s">
        <v>549</v>
      </c>
      <c r="E15" s="40" t="s">
        <v>550</v>
      </c>
      <c r="F15" s="40" t="s">
        <v>551</v>
      </c>
      <c r="G15" s="40" t="s">
        <v>552</v>
      </c>
      <c r="H15" s="40" t="s">
        <v>553</v>
      </c>
      <c r="I15" s="40"/>
      <c r="J15" s="40" t="s">
        <v>160</v>
      </c>
      <c r="K15" s="40" t="s">
        <v>53</v>
      </c>
      <c r="L15" s="40"/>
      <c r="M15" s="40"/>
      <c r="N15" s="40"/>
      <c r="O15" s="40" t="s">
        <v>554</v>
      </c>
    </row>
    <row r="16" customFormat="false" ht="48" hidden="false" customHeight="true" outlineLevel="0" collapsed="false">
      <c r="A16" s="39" t="n">
        <v>11</v>
      </c>
      <c r="B16" s="39" t="s">
        <v>555</v>
      </c>
      <c r="C16" s="39" t="s">
        <v>534</v>
      </c>
      <c r="D16" s="39" t="s">
        <v>556</v>
      </c>
      <c r="E16" s="39" t="s">
        <v>557</v>
      </c>
      <c r="F16" s="39" t="s">
        <v>558</v>
      </c>
      <c r="G16" s="39" t="s">
        <v>559</v>
      </c>
      <c r="H16" s="39" t="s">
        <v>560</v>
      </c>
      <c r="I16" s="39"/>
      <c r="J16" s="39" t="s">
        <v>160</v>
      </c>
      <c r="K16" s="39" t="s">
        <v>53</v>
      </c>
      <c r="L16" s="39"/>
      <c r="M16" s="39"/>
      <c r="N16" s="39"/>
      <c r="O16" s="39" t="s">
        <v>561</v>
      </c>
    </row>
    <row r="17" customFormat="false" ht="48" hidden="false" customHeight="true" outlineLevel="0" collapsed="false">
      <c r="A17" s="40" t="n">
        <v>12</v>
      </c>
      <c r="B17" s="40" t="s">
        <v>562</v>
      </c>
      <c r="C17" s="40" t="s">
        <v>534</v>
      </c>
      <c r="D17" s="40" t="s">
        <v>424</v>
      </c>
      <c r="E17" s="40" t="s">
        <v>563</v>
      </c>
      <c r="F17" s="40" t="s">
        <v>564</v>
      </c>
      <c r="G17" s="40" t="s">
        <v>565</v>
      </c>
      <c r="H17" s="40" t="s">
        <v>566</v>
      </c>
      <c r="I17" s="40"/>
      <c r="J17" s="40" t="s">
        <v>160</v>
      </c>
      <c r="K17" s="40" t="s">
        <v>53</v>
      </c>
      <c r="L17" s="40"/>
      <c r="M17" s="40"/>
      <c r="N17" s="40"/>
      <c r="O17" s="40" t="s">
        <v>567</v>
      </c>
    </row>
    <row r="18" customFormat="false" ht="48" hidden="false" customHeight="true" outlineLevel="0" collapsed="false">
      <c r="A18" s="39" t="n">
        <v>13</v>
      </c>
      <c r="B18" s="39" t="s">
        <v>568</v>
      </c>
      <c r="C18" s="39" t="s">
        <v>534</v>
      </c>
      <c r="D18" s="39" t="s">
        <v>556</v>
      </c>
      <c r="E18" s="39" t="s">
        <v>569</v>
      </c>
      <c r="F18" s="39" t="s">
        <v>570</v>
      </c>
      <c r="G18" s="39" t="s">
        <v>571</v>
      </c>
      <c r="H18" s="39" t="s">
        <v>572</v>
      </c>
      <c r="I18" s="39"/>
      <c r="J18" s="39" t="s">
        <v>160</v>
      </c>
      <c r="K18" s="39" t="s">
        <v>53</v>
      </c>
      <c r="L18" s="39"/>
      <c r="M18" s="39"/>
      <c r="N18" s="39"/>
      <c r="O18" s="39" t="s">
        <v>573</v>
      </c>
    </row>
    <row r="19" customFormat="false" ht="48" hidden="false" customHeight="true" outlineLevel="0" collapsed="false">
      <c r="A19" s="40" t="n">
        <v>14</v>
      </c>
      <c r="B19" s="40" t="s">
        <v>574</v>
      </c>
      <c r="C19" s="40" t="s">
        <v>534</v>
      </c>
      <c r="D19" s="40" t="s">
        <v>352</v>
      </c>
      <c r="E19" s="40" t="s">
        <v>575</v>
      </c>
      <c r="F19" s="40" t="s">
        <v>207</v>
      </c>
      <c r="G19" s="40" t="s">
        <v>576</v>
      </c>
      <c r="H19" s="40" t="s">
        <v>577</v>
      </c>
      <c r="I19" s="40"/>
      <c r="J19" s="40" t="s">
        <v>182</v>
      </c>
      <c r="K19" s="40" t="s">
        <v>53</v>
      </c>
      <c r="L19" s="40"/>
      <c r="M19" s="40"/>
      <c r="N19" s="40"/>
      <c r="O19" s="40" t="s">
        <v>578</v>
      </c>
    </row>
  </sheetData>
  <autoFilter ref="A5:O19"/>
  <mergeCells count="2">
    <mergeCell ref="A2:O2"/>
    <mergeCell ref="A3:O3"/>
  </mergeCells>
  <dataValidations count="2">
    <dataValidation allowBlank="false" errorStyle="stop" operator="between" showDropDown="false" showErrorMessage="false" showInputMessage="false" sqref="K6:K19" type="list">
      <formula1>"Pass,Fail,Blocked,Not Executed"</formula1>
      <formula2>0</formula2>
    </dataValidation>
    <dataValidation allowBlank="false" errorStyle="stop" operator="between" showDropDown="false" showErrorMessage="false" showInputMessage="false" sqref="J6:J19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&amp;LCloud Sphere UAT  ·  Wishlist Orders</oddHeader>
    <oddFooter>&amp;RCSS-UAT-2026-001  ·  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65D"/>
    <pageSetUpPr fitToPage="true"/>
  </sheetPr>
  <dimension ref="A2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32"/>
    <col collapsed="false" customWidth="true" hidden="false" outlineLevel="0" max="6" min="6" style="1" width="28"/>
    <col collapsed="false" customWidth="true" hidden="false" outlineLevel="0" max="8" min="7" style="1" width="40"/>
    <col collapsed="false" customWidth="true" hidden="false" outlineLevel="0" max="9" min="9" style="1" width="22"/>
    <col collapsed="false" customWidth="true" hidden="false" outlineLevel="0" max="10" min="10" style="1" width="12"/>
    <col collapsed="false" customWidth="true" hidden="false" outlineLevel="0" max="12" min="11" style="1" width="14"/>
    <col collapsed="false" customWidth="true" hidden="false" outlineLevel="0" max="14" min="13" style="1" width="12"/>
    <col collapsed="false" customWidth="true" hidden="false" outlineLevel="0" max="15" min="15" style="1" width="28"/>
  </cols>
  <sheetData>
    <row r="2" customFormat="false" ht="21.75" hidden="false" customHeight="true" outlineLevel="0" collapsed="false">
      <c r="A2" s="3" t="s">
        <v>579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31.5" hidden="false" customHeight="true" outlineLevel="0" collapsed="false">
      <c r="A3" s="18" t="s">
        <v>580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customFormat="false" ht="15" hidden="false" customHeight="true" outlineLevel="0" collapsed="false">
      <c r="A4" s="36" t="s">
        <v>99</v>
      </c>
      <c r="B4" s="36" t="n">
        <f aca="false">COUNTA(B6:B13)</f>
        <v>8</v>
      </c>
      <c r="C4" s="36" t="s">
        <v>47</v>
      </c>
      <c r="D4" s="36" t="n">
        <f aca="false">COUNTIF(K6:K13,"Pass")</f>
        <v>0</v>
      </c>
      <c r="E4" s="36" t="s">
        <v>49</v>
      </c>
      <c r="F4" s="36" t="n">
        <f aca="false">COUNTIF(K6:K13,"Fail")</f>
        <v>0</v>
      </c>
      <c r="G4" s="36" t="s">
        <v>51</v>
      </c>
      <c r="H4" s="36" t="n">
        <f aca="false">COUNTIF(K6:K13,"Blocked")</f>
        <v>0</v>
      </c>
      <c r="I4" s="36" t="s">
        <v>53</v>
      </c>
      <c r="J4" s="36" t="n">
        <f aca="false">COUNTIF(K6:K13,"Not Executed")</f>
        <v>8</v>
      </c>
      <c r="K4" s="36" t="s">
        <v>100</v>
      </c>
      <c r="L4" s="37" t="n">
        <f aca="false">IF(B4=0,0,D4/B4)</f>
        <v>0</v>
      </c>
    </row>
    <row r="5" customFormat="false" ht="27.75" hidden="false" customHeight="true" outlineLevel="0" collapsed="false">
      <c r="A5" s="38" t="s">
        <v>118</v>
      </c>
      <c r="B5" s="38" t="s">
        <v>119</v>
      </c>
      <c r="C5" s="38" t="s">
        <v>98</v>
      </c>
      <c r="D5" s="38" t="s">
        <v>120</v>
      </c>
      <c r="E5" s="38" t="s">
        <v>121</v>
      </c>
      <c r="F5" s="38" t="s">
        <v>122</v>
      </c>
      <c r="G5" s="38" t="s">
        <v>123</v>
      </c>
      <c r="H5" s="38" t="s">
        <v>124</v>
      </c>
      <c r="I5" s="38" t="s">
        <v>125</v>
      </c>
      <c r="J5" s="38" t="s">
        <v>126</v>
      </c>
      <c r="K5" s="38" t="s">
        <v>127</v>
      </c>
      <c r="L5" s="38" t="s">
        <v>128</v>
      </c>
      <c r="M5" s="38" t="s">
        <v>129</v>
      </c>
      <c r="N5" s="38" t="s">
        <v>130</v>
      </c>
      <c r="O5" s="38" t="s">
        <v>131</v>
      </c>
    </row>
    <row r="6" customFormat="false" ht="48" hidden="false" customHeight="true" outlineLevel="0" collapsed="false">
      <c r="A6" s="39" t="n">
        <v>1</v>
      </c>
      <c r="B6" s="39" t="s">
        <v>581</v>
      </c>
      <c r="C6" s="39" t="s">
        <v>582</v>
      </c>
      <c r="D6" s="39" t="s">
        <v>583</v>
      </c>
      <c r="E6" s="39" t="s">
        <v>584</v>
      </c>
      <c r="F6" s="39" t="s">
        <v>585</v>
      </c>
      <c r="G6" s="39" t="s">
        <v>586</v>
      </c>
      <c r="H6" s="39" t="s">
        <v>587</v>
      </c>
      <c r="I6" s="39"/>
      <c r="J6" s="39" t="s">
        <v>138</v>
      </c>
      <c r="K6" s="39" t="s">
        <v>53</v>
      </c>
      <c r="L6" s="39"/>
      <c r="M6" s="39"/>
      <c r="N6" s="39"/>
      <c r="O6" s="39" t="s">
        <v>588</v>
      </c>
    </row>
    <row r="7" customFormat="false" ht="60" hidden="false" customHeight="true" outlineLevel="0" collapsed="false">
      <c r="A7" s="40" t="n">
        <v>2</v>
      </c>
      <c r="B7" s="40" t="s">
        <v>589</v>
      </c>
      <c r="C7" s="40" t="s">
        <v>590</v>
      </c>
      <c r="D7" s="40" t="s">
        <v>591</v>
      </c>
      <c r="E7" s="40" t="s">
        <v>592</v>
      </c>
      <c r="F7" s="40" t="s">
        <v>593</v>
      </c>
      <c r="G7" s="40" t="s">
        <v>594</v>
      </c>
      <c r="H7" s="40" t="s">
        <v>595</v>
      </c>
      <c r="I7" s="40"/>
      <c r="J7" s="40" t="s">
        <v>138</v>
      </c>
      <c r="K7" s="40" t="s">
        <v>53</v>
      </c>
      <c r="L7" s="40"/>
      <c r="M7" s="40"/>
      <c r="N7" s="40"/>
      <c r="O7" s="40" t="s">
        <v>596</v>
      </c>
    </row>
    <row r="8" customFormat="false" ht="48" hidden="false" customHeight="true" outlineLevel="0" collapsed="false">
      <c r="A8" s="39" t="n">
        <v>3</v>
      </c>
      <c r="B8" s="39" t="s">
        <v>597</v>
      </c>
      <c r="C8" s="39" t="s">
        <v>590</v>
      </c>
      <c r="D8" s="39" t="s">
        <v>598</v>
      </c>
      <c r="E8" s="39" t="s">
        <v>599</v>
      </c>
      <c r="F8" s="39" t="s">
        <v>600</v>
      </c>
      <c r="G8" s="39" t="s">
        <v>601</v>
      </c>
      <c r="H8" s="39" t="s">
        <v>602</v>
      </c>
      <c r="I8" s="39"/>
      <c r="J8" s="39" t="s">
        <v>160</v>
      </c>
      <c r="K8" s="39" t="s">
        <v>53</v>
      </c>
      <c r="L8" s="39"/>
      <c r="M8" s="39"/>
      <c r="N8" s="39"/>
      <c r="O8" s="39" t="s">
        <v>603</v>
      </c>
    </row>
    <row r="9" customFormat="false" ht="48" hidden="false" customHeight="true" outlineLevel="0" collapsed="false">
      <c r="A9" s="40" t="n">
        <v>4</v>
      </c>
      <c r="B9" s="40" t="s">
        <v>604</v>
      </c>
      <c r="C9" s="40" t="s">
        <v>590</v>
      </c>
      <c r="D9" s="40" t="s">
        <v>605</v>
      </c>
      <c r="E9" s="40" t="s">
        <v>606</v>
      </c>
      <c r="F9" s="40" t="s">
        <v>607</v>
      </c>
      <c r="G9" s="40" t="s">
        <v>608</v>
      </c>
      <c r="H9" s="40" t="s">
        <v>609</v>
      </c>
      <c r="I9" s="40"/>
      <c r="J9" s="40" t="s">
        <v>160</v>
      </c>
      <c r="K9" s="40" t="s">
        <v>53</v>
      </c>
      <c r="L9" s="40"/>
      <c r="M9" s="40"/>
      <c r="N9" s="40"/>
      <c r="O9" s="40" t="s">
        <v>610</v>
      </c>
    </row>
    <row r="10" customFormat="false" ht="48" hidden="false" customHeight="true" outlineLevel="0" collapsed="false">
      <c r="A10" s="39" t="n">
        <v>5</v>
      </c>
      <c r="B10" s="39" t="s">
        <v>611</v>
      </c>
      <c r="C10" s="39" t="s">
        <v>590</v>
      </c>
      <c r="D10" s="39" t="s">
        <v>612</v>
      </c>
      <c r="E10" s="39" t="s">
        <v>613</v>
      </c>
      <c r="F10" s="39" t="s">
        <v>614</v>
      </c>
      <c r="G10" s="39" t="s">
        <v>615</v>
      </c>
      <c r="H10" s="39" t="s">
        <v>616</v>
      </c>
      <c r="I10" s="39"/>
      <c r="J10" s="39" t="s">
        <v>160</v>
      </c>
      <c r="K10" s="39" t="s">
        <v>53</v>
      </c>
      <c r="L10" s="39"/>
      <c r="M10" s="39"/>
      <c r="N10" s="39"/>
      <c r="O10" s="39" t="s">
        <v>617</v>
      </c>
    </row>
    <row r="11" customFormat="false" ht="48" hidden="false" customHeight="true" outlineLevel="0" collapsed="false">
      <c r="A11" s="40" t="n">
        <v>6</v>
      </c>
      <c r="B11" s="40" t="s">
        <v>618</v>
      </c>
      <c r="C11" s="40" t="s">
        <v>590</v>
      </c>
      <c r="D11" s="40" t="s">
        <v>619</v>
      </c>
      <c r="E11" s="40" t="s">
        <v>620</v>
      </c>
      <c r="F11" s="40" t="s">
        <v>621</v>
      </c>
      <c r="G11" s="40" t="s">
        <v>622</v>
      </c>
      <c r="H11" s="40" t="s">
        <v>623</v>
      </c>
      <c r="I11" s="40"/>
      <c r="J11" s="40" t="s">
        <v>160</v>
      </c>
      <c r="K11" s="40" t="s">
        <v>53</v>
      </c>
      <c r="L11" s="40"/>
      <c r="M11" s="40"/>
      <c r="N11" s="40"/>
      <c r="O11" s="40" t="s">
        <v>624</v>
      </c>
    </row>
    <row r="12" customFormat="false" ht="60" hidden="false" customHeight="true" outlineLevel="0" collapsed="false">
      <c r="A12" s="39" t="n">
        <v>7</v>
      </c>
      <c r="B12" s="39" t="s">
        <v>625</v>
      </c>
      <c r="C12" s="39" t="s">
        <v>590</v>
      </c>
      <c r="D12" s="39" t="s">
        <v>626</v>
      </c>
      <c r="E12" s="39" t="s">
        <v>627</v>
      </c>
      <c r="F12" s="39" t="s">
        <v>628</v>
      </c>
      <c r="G12" s="39" t="s">
        <v>629</v>
      </c>
      <c r="H12" s="39" t="s">
        <v>630</v>
      </c>
      <c r="I12" s="39"/>
      <c r="J12" s="39" t="s">
        <v>138</v>
      </c>
      <c r="K12" s="39" t="s">
        <v>53</v>
      </c>
      <c r="L12" s="39"/>
      <c r="M12" s="39"/>
      <c r="N12" s="39"/>
      <c r="O12" s="39" t="s">
        <v>631</v>
      </c>
    </row>
    <row r="13" customFormat="false" ht="48" hidden="false" customHeight="true" outlineLevel="0" collapsed="false">
      <c r="A13" s="40" t="n">
        <v>8</v>
      </c>
      <c r="B13" s="40" t="s">
        <v>632</v>
      </c>
      <c r="C13" s="40" t="s">
        <v>590</v>
      </c>
      <c r="D13" s="40" t="s">
        <v>633</v>
      </c>
      <c r="E13" s="40" t="s">
        <v>634</v>
      </c>
      <c r="F13" s="40" t="s">
        <v>635</v>
      </c>
      <c r="G13" s="40" t="s">
        <v>636</v>
      </c>
      <c r="H13" s="40" t="s">
        <v>637</v>
      </c>
      <c r="I13" s="40"/>
      <c r="J13" s="40" t="s">
        <v>160</v>
      </c>
      <c r="K13" s="40" t="s">
        <v>53</v>
      </c>
      <c r="L13" s="40"/>
      <c r="M13" s="40"/>
      <c r="N13" s="40"/>
      <c r="O13" s="40" t="s">
        <v>638</v>
      </c>
    </row>
  </sheetData>
  <autoFilter ref="A5:O13"/>
  <mergeCells count="2">
    <mergeCell ref="A2:O2"/>
    <mergeCell ref="A3:O3"/>
  </mergeCells>
  <dataValidations count="2">
    <dataValidation allowBlank="false" errorStyle="stop" operator="between" showDropDown="false" showErrorMessage="false" showInputMessage="false" sqref="K6:K13" type="list">
      <formula1>"Pass,Fail,Blocked,Not Executed"</formula1>
      <formula2>0</formula2>
    </dataValidation>
    <dataValidation allowBlank="false" errorStyle="stop" operator="between" showDropDown="false" showErrorMessage="false" showInputMessage="false" sqref="J6:J13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&amp;LCloud Sphere UAT  ·  Admin</oddHeader>
    <oddFooter>&amp;RCSS-UAT-2026-001  ·  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65D"/>
    <pageSetUpPr fitToPage="true"/>
  </sheetPr>
  <dimension ref="A2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32"/>
    <col collapsed="false" customWidth="true" hidden="false" outlineLevel="0" max="6" min="6" style="1" width="28"/>
    <col collapsed="false" customWidth="true" hidden="false" outlineLevel="0" max="8" min="7" style="1" width="40"/>
    <col collapsed="false" customWidth="true" hidden="false" outlineLevel="0" max="9" min="9" style="1" width="22"/>
    <col collapsed="false" customWidth="true" hidden="false" outlineLevel="0" max="10" min="10" style="1" width="12"/>
    <col collapsed="false" customWidth="true" hidden="false" outlineLevel="0" max="12" min="11" style="1" width="14"/>
    <col collapsed="false" customWidth="true" hidden="false" outlineLevel="0" max="14" min="13" style="1" width="12"/>
    <col collapsed="false" customWidth="true" hidden="false" outlineLevel="0" max="15" min="15" style="1" width="28"/>
  </cols>
  <sheetData>
    <row r="2" customFormat="false" ht="21.75" hidden="false" customHeight="true" outlineLevel="0" collapsed="false">
      <c r="A2" s="3" t="s">
        <v>639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31.5" hidden="false" customHeight="true" outlineLevel="0" collapsed="false">
      <c r="A3" s="18" t="s">
        <v>640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customFormat="false" ht="15" hidden="false" customHeight="true" outlineLevel="0" collapsed="false">
      <c r="A4" s="36" t="s">
        <v>99</v>
      </c>
      <c r="B4" s="36" t="n">
        <f aca="false">COUNTA(B6:B15)</f>
        <v>10</v>
      </c>
      <c r="C4" s="36" t="s">
        <v>47</v>
      </c>
      <c r="D4" s="36" t="n">
        <f aca="false">COUNTIF(K6:K15,"Pass")</f>
        <v>0</v>
      </c>
      <c r="E4" s="36" t="s">
        <v>49</v>
      </c>
      <c r="F4" s="36" t="n">
        <f aca="false">COUNTIF(K6:K15,"Fail")</f>
        <v>0</v>
      </c>
      <c r="G4" s="36" t="s">
        <v>51</v>
      </c>
      <c r="H4" s="36" t="n">
        <f aca="false">COUNTIF(K6:K15,"Blocked")</f>
        <v>0</v>
      </c>
      <c r="I4" s="36" t="s">
        <v>53</v>
      </c>
      <c r="J4" s="36" t="n">
        <f aca="false">COUNTIF(K6:K15,"Not Executed")</f>
        <v>10</v>
      </c>
      <c r="K4" s="36" t="s">
        <v>100</v>
      </c>
      <c r="L4" s="37" t="n">
        <f aca="false">IF(B4=0,0,D4/B4)</f>
        <v>0</v>
      </c>
    </row>
    <row r="5" customFormat="false" ht="27.75" hidden="false" customHeight="true" outlineLevel="0" collapsed="false">
      <c r="A5" s="38" t="s">
        <v>118</v>
      </c>
      <c r="B5" s="38" t="s">
        <v>119</v>
      </c>
      <c r="C5" s="38" t="s">
        <v>98</v>
      </c>
      <c r="D5" s="38" t="s">
        <v>120</v>
      </c>
      <c r="E5" s="38" t="s">
        <v>121</v>
      </c>
      <c r="F5" s="38" t="s">
        <v>122</v>
      </c>
      <c r="G5" s="38" t="s">
        <v>123</v>
      </c>
      <c r="H5" s="38" t="s">
        <v>124</v>
      </c>
      <c r="I5" s="38" t="s">
        <v>125</v>
      </c>
      <c r="J5" s="38" t="s">
        <v>126</v>
      </c>
      <c r="K5" s="38" t="s">
        <v>127</v>
      </c>
      <c r="L5" s="38" t="s">
        <v>128</v>
      </c>
      <c r="M5" s="38" t="s">
        <v>129</v>
      </c>
      <c r="N5" s="38" t="s">
        <v>130</v>
      </c>
      <c r="O5" s="38" t="s">
        <v>131</v>
      </c>
    </row>
    <row r="6" customFormat="false" ht="48" hidden="false" customHeight="true" outlineLevel="0" collapsed="false">
      <c r="A6" s="39" t="n">
        <v>1</v>
      </c>
      <c r="B6" s="39" t="s">
        <v>641</v>
      </c>
      <c r="C6" s="39" t="s">
        <v>107</v>
      </c>
      <c r="D6" s="39" t="s">
        <v>642</v>
      </c>
      <c r="E6" s="39" t="s">
        <v>643</v>
      </c>
      <c r="F6" s="39" t="s">
        <v>644</v>
      </c>
      <c r="G6" s="39" t="s">
        <v>645</v>
      </c>
      <c r="H6" s="39" t="s">
        <v>646</v>
      </c>
      <c r="I6" s="39"/>
      <c r="J6" s="39" t="s">
        <v>160</v>
      </c>
      <c r="K6" s="39" t="s">
        <v>53</v>
      </c>
      <c r="L6" s="39"/>
      <c r="M6" s="39"/>
      <c r="N6" s="39"/>
      <c r="O6" s="39" t="s">
        <v>647</v>
      </c>
    </row>
    <row r="7" customFormat="false" ht="48" hidden="false" customHeight="true" outlineLevel="0" collapsed="false">
      <c r="A7" s="40" t="n">
        <v>2</v>
      </c>
      <c r="B7" s="40" t="s">
        <v>648</v>
      </c>
      <c r="C7" s="40" t="s">
        <v>107</v>
      </c>
      <c r="D7" s="40" t="s">
        <v>649</v>
      </c>
      <c r="E7" s="40" t="s">
        <v>650</v>
      </c>
      <c r="F7" s="40" t="s">
        <v>651</v>
      </c>
      <c r="G7" s="40" t="s">
        <v>652</v>
      </c>
      <c r="H7" s="40" t="s">
        <v>653</v>
      </c>
      <c r="I7" s="40"/>
      <c r="J7" s="40" t="s">
        <v>160</v>
      </c>
      <c r="K7" s="40" t="s">
        <v>53</v>
      </c>
      <c r="L7" s="40"/>
      <c r="M7" s="40"/>
      <c r="N7" s="40"/>
      <c r="O7" s="40" t="s">
        <v>654</v>
      </c>
    </row>
    <row r="8" customFormat="false" ht="48" hidden="false" customHeight="true" outlineLevel="0" collapsed="false">
      <c r="A8" s="39" t="n">
        <v>3</v>
      </c>
      <c r="B8" s="39" t="s">
        <v>655</v>
      </c>
      <c r="C8" s="39" t="s">
        <v>107</v>
      </c>
      <c r="D8" s="39" t="s">
        <v>656</v>
      </c>
      <c r="E8" s="39" t="s">
        <v>657</v>
      </c>
      <c r="F8" s="39" t="s">
        <v>658</v>
      </c>
      <c r="G8" s="39" t="s">
        <v>659</v>
      </c>
      <c r="H8" s="39" t="s">
        <v>660</v>
      </c>
      <c r="I8" s="39"/>
      <c r="J8" s="39" t="s">
        <v>182</v>
      </c>
      <c r="K8" s="39" t="s">
        <v>53</v>
      </c>
      <c r="L8" s="39"/>
      <c r="M8" s="39"/>
      <c r="N8" s="39"/>
      <c r="O8" s="39" t="s">
        <v>661</v>
      </c>
    </row>
    <row r="9" customFormat="false" ht="48" hidden="false" customHeight="true" outlineLevel="0" collapsed="false">
      <c r="A9" s="40" t="n">
        <v>4</v>
      </c>
      <c r="B9" s="40" t="s">
        <v>662</v>
      </c>
      <c r="C9" s="40" t="s">
        <v>107</v>
      </c>
      <c r="D9" s="40" t="s">
        <v>663</v>
      </c>
      <c r="E9" s="40" t="s">
        <v>664</v>
      </c>
      <c r="F9" s="40" t="s">
        <v>665</v>
      </c>
      <c r="G9" s="40" t="s">
        <v>666</v>
      </c>
      <c r="H9" s="40" t="s">
        <v>667</v>
      </c>
      <c r="I9" s="40"/>
      <c r="J9" s="40" t="s">
        <v>160</v>
      </c>
      <c r="K9" s="40" t="s">
        <v>53</v>
      </c>
      <c r="L9" s="40"/>
      <c r="M9" s="40"/>
      <c r="N9" s="40"/>
      <c r="O9" s="40" t="s">
        <v>668</v>
      </c>
    </row>
    <row r="10" customFormat="false" ht="48" hidden="false" customHeight="true" outlineLevel="0" collapsed="false">
      <c r="A10" s="39" t="n">
        <v>5</v>
      </c>
      <c r="B10" s="39" t="s">
        <v>669</v>
      </c>
      <c r="C10" s="39" t="s">
        <v>107</v>
      </c>
      <c r="D10" s="39" t="s">
        <v>670</v>
      </c>
      <c r="E10" s="39" t="s">
        <v>671</v>
      </c>
      <c r="F10" s="39" t="s">
        <v>672</v>
      </c>
      <c r="G10" s="39" t="s">
        <v>673</v>
      </c>
      <c r="H10" s="39" t="s">
        <v>674</v>
      </c>
      <c r="I10" s="39"/>
      <c r="J10" s="39" t="s">
        <v>160</v>
      </c>
      <c r="K10" s="39" t="s">
        <v>53</v>
      </c>
      <c r="L10" s="39"/>
      <c r="M10" s="39"/>
      <c r="N10" s="39"/>
      <c r="O10" s="39" t="s">
        <v>675</v>
      </c>
    </row>
    <row r="11" customFormat="false" ht="48" hidden="false" customHeight="true" outlineLevel="0" collapsed="false">
      <c r="A11" s="40" t="n">
        <v>6</v>
      </c>
      <c r="B11" s="40" t="s">
        <v>676</v>
      </c>
      <c r="C11" s="40" t="s">
        <v>107</v>
      </c>
      <c r="D11" s="40" t="s">
        <v>677</v>
      </c>
      <c r="E11" s="40" t="s">
        <v>678</v>
      </c>
      <c r="F11" s="40" t="s">
        <v>679</v>
      </c>
      <c r="G11" s="40" t="s">
        <v>680</v>
      </c>
      <c r="H11" s="40" t="s">
        <v>681</v>
      </c>
      <c r="I11" s="40"/>
      <c r="J11" s="40" t="s">
        <v>160</v>
      </c>
      <c r="K11" s="40" t="s">
        <v>53</v>
      </c>
      <c r="L11" s="40"/>
      <c r="M11" s="40"/>
      <c r="N11" s="40"/>
      <c r="O11" s="40" t="s">
        <v>682</v>
      </c>
    </row>
    <row r="12" customFormat="false" ht="48" hidden="false" customHeight="true" outlineLevel="0" collapsed="false">
      <c r="A12" s="39" t="n">
        <v>7</v>
      </c>
      <c r="B12" s="39" t="s">
        <v>683</v>
      </c>
      <c r="C12" s="39" t="s">
        <v>107</v>
      </c>
      <c r="D12" s="39" t="s">
        <v>684</v>
      </c>
      <c r="E12" s="39" t="s">
        <v>685</v>
      </c>
      <c r="F12" s="39" t="s">
        <v>686</v>
      </c>
      <c r="G12" s="39" t="s">
        <v>687</v>
      </c>
      <c r="H12" s="39" t="s">
        <v>688</v>
      </c>
      <c r="I12" s="39"/>
      <c r="J12" s="39" t="s">
        <v>160</v>
      </c>
      <c r="K12" s="39" t="s">
        <v>53</v>
      </c>
      <c r="L12" s="39"/>
      <c r="M12" s="39"/>
      <c r="N12" s="39"/>
      <c r="O12" s="39" t="s">
        <v>689</v>
      </c>
    </row>
    <row r="13" customFormat="false" ht="48" hidden="false" customHeight="true" outlineLevel="0" collapsed="false">
      <c r="A13" s="40" t="n">
        <v>8</v>
      </c>
      <c r="B13" s="40" t="s">
        <v>690</v>
      </c>
      <c r="C13" s="40" t="s">
        <v>107</v>
      </c>
      <c r="D13" s="40" t="s">
        <v>691</v>
      </c>
      <c r="E13" s="40" t="s">
        <v>692</v>
      </c>
      <c r="F13" s="40" t="s">
        <v>693</v>
      </c>
      <c r="G13" s="40" t="s">
        <v>694</v>
      </c>
      <c r="H13" s="40" t="s">
        <v>695</v>
      </c>
      <c r="I13" s="40"/>
      <c r="J13" s="40" t="s">
        <v>160</v>
      </c>
      <c r="K13" s="40" t="s">
        <v>53</v>
      </c>
      <c r="L13" s="40"/>
      <c r="M13" s="40"/>
      <c r="N13" s="40"/>
      <c r="O13" s="40" t="s">
        <v>696</v>
      </c>
    </row>
    <row r="14" customFormat="false" ht="48" hidden="false" customHeight="true" outlineLevel="0" collapsed="false">
      <c r="A14" s="39" t="n">
        <v>9</v>
      </c>
      <c r="B14" s="39" t="s">
        <v>697</v>
      </c>
      <c r="C14" s="39" t="s">
        <v>107</v>
      </c>
      <c r="D14" s="39" t="s">
        <v>698</v>
      </c>
      <c r="E14" s="39" t="s">
        <v>699</v>
      </c>
      <c r="F14" s="39" t="s">
        <v>700</v>
      </c>
      <c r="G14" s="39" t="s">
        <v>701</v>
      </c>
      <c r="H14" s="39" t="s">
        <v>702</v>
      </c>
      <c r="I14" s="39"/>
      <c r="J14" s="39" t="s">
        <v>160</v>
      </c>
      <c r="K14" s="39" t="s">
        <v>53</v>
      </c>
      <c r="L14" s="39"/>
      <c r="M14" s="39"/>
      <c r="N14" s="39"/>
      <c r="O14" s="39" t="s">
        <v>703</v>
      </c>
    </row>
    <row r="15" customFormat="false" ht="48" hidden="false" customHeight="true" outlineLevel="0" collapsed="false">
      <c r="A15" s="40" t="n">
        <v>10</v>
      </c>
      <c r="B15" s="40" t="s">
        <v>704</v>
      </c>
      <c r="C15" s="40" t="s">
        <v>107</v>
      </c>
      <c r="D15" s="40" t="s">
        <v>705</v>
      </c>
      <c r="E15" s="40" t="s">
        <v>706</v>
      </c>
      <c r="F15" s="40" t="s">
        <v>707</v>
      </c>
      <c r="G15" s="40" t="s">
        <v>708</v>
      </c>
      <c r="H15" s="40" t="s">
        <v>709</v>
      </c>
      <c r="I15" s="40"/>
      <c r="J15" s="40" t="s">
        <v>182</v>
      </c>
      <c r="K15" s="40" t="s">
        <v>53</v>
      </c>
      <c r="L15" s="40"/>
      <c r="M15" s="40"/>
      <c r="N15" s="40"/>
      <c r="O15" s="40" t="s">
        <v>710</v>
      </c>
    </row>
  </sheetData>
  <autoFilter ref="A5:O15"/>
  <mergeCells count="2">
    <mergeCell ref="A2:O2"/>
    <mergeCell ref="A3:O3"/>
  </mergeCells>
  <dataValidations count="2">
    <dataValidation allowBlank="false" errorStyle="stop" operator="between" showDropDown="false" showErrorMessage="false" showInputMessage="false" sqref="K6:K15" type="list">
      <formula1>"Pass,Fail,Blocked,Not Executed"</formula1>
      <formula2>0</formula2>
    </dataValidation>
    <dataValidation allowBlank="false" errorStyle="stop" operator="between" showDropDown="false" showErrorMessage="false" showInputMessage="false" sqref="J6:J15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&amp;LCloud Sphere UAT  ·  Non-functional</oddHeader>
    <oddFooter>&amp;RCSS-UAT-2026-001  ·  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2026-09-20T11:05:57Z</dcterms:created>
  <dc:creator>openpyxl</dc:creator>
  <dc:description/>
  <dc:language>en-US</dc:language>
  <cp:lastModifiedBy/>
  <dcterms:modified xsi:type="dcterms:W3CDTF">2026-09-30T11:27:39Z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